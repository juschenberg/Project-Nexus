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36e3f0408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7270756a1a04533"/>
    <x:sheet xmlns:r="http://schemas.openxmlformats.org/officeDocument/2006/relationships" name="PARAMS" sheetId="2" r:id="Redb7b6a2d7884fa1"/>
    <x:sheet xmlns:r="http://schemas.openxmlformats.org/officeDocument/2006/relationships" name="EMPLOYEES" sheetId="3" r:id="Rc074e91f311e4ca5"/>
    <x:sheet xmlns:r="http://schemas.openxmlformats.org/officeDocument/2006/relationships" name="SHIFTS" sheetId="4" r:id="Rc85af4d1c2da4a27"/>
    <x:sheet xmlns:r="http://schemas.openxmlformats.org/officeDocument/2006/relationships" name="ABSENCES" sheetId="5" r:id="R1a6d3c216cf14e72"/>
    <x:sheet xmlns:r="http://schemas.openxmlformats.org/officeDocument/2006/relationships" name="ASSIGNMENTS" sheetId="6" r:id="R42ec734870594120"/>
  </x:sheets>
  <x:definedNames>
    <x:definedName name="ShiftIDs">SHIFTS!$A$2:$A$500</x:definedName>
    <x:definedName name="EmployeeIDs">EMPLOYEES!$A$2:$A$200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hh:mm"/>
    <x:numFmt numFmtId="166" formatCode="0.0"/>
    <x:numFmt numFmtId="167" formatCode="€#,##0.00"/>
  </x:numFmts>
  <x:fonts count="6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b/>
      <x:color rgb="00FFFFFF"/>
    </x:font>
    <x:font>
      <x:color rgb="000000FF"/>
    </x:font>
    <x:font>
      <x:b/>
      <x:color rgb="00C00000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2" borderId="1" xfId="0" applyAlignment="1">
      <x:alignment horizontal="center" vertical="center" wrapText="1"/>
    </x:xf>
    <x:xf numFmtId="0" fontId="0" fillId="0" borderId="1" xfId="0"/>
    <x:xf numFmtId="164" fontId="4" fillId="0" borderId="1" xfId="0"/>
    <x:xf numFmtId="0" fontId="4" fillId="0" borderId="1" xfId="0"/>
    <x:xf numFmtId="2" fontId="4" fillId="0" borderId="1" xfId="0"/>
    <x:xf numFmtId="165" fontId="4" fillId="0" borderId="1" xfId="0"/>
    <x:xf numFmtId="166" fontId="0" fillId="0" borderId="1" xfId="0"/>
    <x:xf numFmtId="167" fontId="0" fillId="0" borderId="1" xfId="0"/>
    <x:xf numFmtId="0" fontId="5" fillId="0" borderId="1" xfId="0"/>
    <x:xf numFmtId="1" fontId="4" fillId="0" borderId="1" xfId="0"/>
    <x:xf numFmtId="2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348fa599a4f3b" /><Relationship Type="http://schemas.openxmlformats.org/officeDocument/2006/relationships/theme" Target="/xl/theme/theme1.xml" Id="Rac79681811a04a95" /><Relationship Type="http://schemas.openxmlformats.org/officeDocument/2006/relationships/sharedStrings" Target="/xl/sharedStrings.xml" Id="R066a43c834f54b1d" /><Relationship Type="http://schemas.openxmlformats.org/officeDocument/2006/relationships/worksheet" Target="/xl/worksheets/sheet1.xml" Id="Rc7270756a1a04533" /><Relationship Type="http://schemas.openxmlformats.org/officeDocument/2006/relationships/worksheet" Target="/xl/worksheets/sheet2.xml" Id="Redb7b6a2d7884fa1" /><Relationship Type="http://schemas.openxmlformats.org/officeDocument/2006/relationships/worksheet" Target="/xl/worksheets/sheet3.xml" Id="Rc074e91f311e4ca5" /><Relationship Type="http://schemas.openxmlformats.org/officeDocument/2006/relationships/worksheet" Target="/xl/worksheets/sheet4.xml" Id="Rc85af4d1c2da4a27" /><Relationship Type="http://schemas.openxmlformats.org/officeDocument/2006/relationships/worksheet" Target="/xl/worksheets/sheet5.xml" Id="R1a6d3c216cf14e72" /><Relationship Type="http://schemas.openxmlformats.org/officeDocument/2006/relationships/worksheet" Target="/xl/worksheets/sheet6.xml" Id="R42ec73487059412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>
      <x:c r="A1" s="1" t="inlineStr">
        <x:is>
          <x:t xml:space="preserve">Bäckerei – Workforce &amp; Shift Input Template (1 Filiale + Backstube nebenan)</x:t>
        </x:is>
      </x:c>
    </x:row>
    <x:row r="3">
      <x:c r="A3" s="2" t="inlineStr">
        <x:is>
          <x:t xml:space="preserve">Zweck</x:t>
        </x:is>
      </x:c>
    </x:row>
    <x:row r="4" ht="60" customHeight="1">
      <x:c r="A4" s="3" t="inlineStr">
        <x:is>
          <x:t xml:space="preserve">Input-Datei für ein Workflow-/Schichtplanungs-Optimierungstool: Mitarbeiter (Verträge/Verfügbarkeiten/Qualifikationen), Schicht-Templates und optionale Abwesenheiten. Felder in BLAU sind typische Szenario-Inputs.</x:t>
        </x:is>
      </x:c>
    </x:row>
    <x:row r="5">
      <x:c r="A5" s="3" t="n"/>
    </x:row>
    <x:row r="6">
      <x:c r="A6" s="4" t="inlineStr">
        <x:is>
          <x:t xml:space="preserve">Sheets</x:t>
        </x:is>
      </x:c>
    </x:row>
    <x:row r="7">
      <x:c r="A7" s="3" t="inlineStr">
        <x:is>
          <x:t xml:space="preserve">PARAMS – Parameter (Ruhezeit, Pausen, Minijob-Grenze, etc.)</x:t>
        </x:is>
      </x:c>
    </x:row>
    <x:row r="8">
      <x:c r="A8" s="3" t="inlineStr">
        <x:is>
          <x:t xml:space="preserve">EMPLOYEES – Mitarbeiterliste (ohne Skillgrad; nur qualifiziert ja/nein)</x:t>
        </x:is>
      </x:c>
    </x:row>
    <x:row r="9">
      <x:c r="A9" s="3" t="inlineStr">
        <x:is>
          <x:t xml:space="preserve">SHIFTS – Wöchentliche Schicht-Templates (Front/Kasse, Backstube, Leitung)</x:t>
        </x:is>
      </x:c>
    </x:row>
    <x:row r="10">
      <x:c r="A10" s="3" t="inlineStr">
        <x:is>
          <x:t xml:space="preserve">ABSENCES – Urlaub/Krank/Schulung (optional)</x:t>
        </x:is>
      </x:c>
    </x:row>
    <x:row r="11">
      <x:c r="A11" s="3" t="inlineStr">
        <x:is>
          <x:t xml:space="preserve">ASSIGNMENTS – Eure Optimizer-Ausgabe (Zuteilung Mitarbeiter ↔ Schicht)</x:t>
        </x:is>
      </x:c>
    </x:row>
    <x:row r="12">
      <x:c r="A12" s="3" t="n"/>
    </x:row>
    <x:row r="13">
      <x:c r="A13" s="4" t="inlineStr">
        <x:is>
          <x:t xml:space="preserve">Hinweise</x:t>
        </x:is>
      </x:c>
    </x:row>
    <x:row r="14" ht="70" customHeight="1">
      <x:c r="A14" s="3" t="inlineStr">
        <x:is>
          <x:t xml:space="preserve">• Zeiten sind als Uhrzeit formatiert (HH:MM). Nachtschichten möglich (Ende &lt; Start).
• Positionen: Filialleiter, Kasse, Backmeister, Baeckerei, Baeckerei_Springer.
• ContractType: FullTime, PartTime, Minijob, Apprentice.
• Minijob-Grenze ist als Parameter hinterlegt (Stand 01.01.2026: 603 €).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18" customWidth="1"/>
    <x:col min="3" max="3" width="14" customWidth="1"/>
    <x:col min="4" max="4" width="60" customWidth="1"/>
  </x:cols>
  <x:sheetData>
    <x:row r="1">
      <x:c r="A1" s="5" t="inlineStr">
        <x:is>
          <x:t xml:space="preserve">Parameter</x:t>
        </x:is>
      </x:c>
      <x:c r="B1" s="5" t="inlineStr">
        <x:is>
          <x:t xml:space="preserve">Value</x:t>
        </x:is>
      </x:c>
      <x:c r="C1" s="5" t="inlineStr">
        <x:is>
          <x:t xml:space="preserve">Unit</x:t>
        </x:is>
      </x:c>
      <x:c r="D1" s="5" t="inlineStr">
        <x:is>
          <x:t xml:space="preserve">Notes / Default</x:t>
        </x:is>
      </x:c>
    </x:row>
    <x:row r="2">
      <x:c r="A2" s="6" t="inlineStr">
        <x:is>
          <x:t xml:space="preserve">PlanningStartDate</x:t>
        </x:is>
      </x:c>
      <x:c r="B2" s="7" t="inlineStr">
        <x:is>
          <x:t xml:space="preserve">2026-03-02</x:t>
        </x:is>
      </x:c>
      <x:c r="C2" s="6" t="inlineStr">
        <x:is>
          <x:t xml:space="preserve">YYYY-MM-DD</x:t>
        </x:is>
      </x:c>
      <x:c r="D2" s="6" t="inlineStr">
        <x:is>
          <x:t xml:space="preserve">Montag der Planwoche (Szenario)</x:t>
        </x:is>
      </x:c>
    </x:row>
    <x:row r="3">
      <x:c r="A3" s="6" t="inlineStr">
        <x:is>
          <x:t xml:space="preserve">PlanningDays</x:t>
        </x:is>
      </x:c>
      <x:c r="B3" s="8" t="n">
        <x:v>7</x:v>
      </x:c>
      <x:c r="C3" s="6" t="inlineStr">
        <x:is>
          <x:t xml:space="preserve">days</x:t>
        </x:is>
      </x:c>
      <x:c r="D3" s="6" t="inlineStr">
        <x:is>
          <x:t xml:space="preserve">Anzahl Tage im Horizont</x:t>
        </x:is>
      </x:c>
    </x:row>
    <x:row r="4">
      <x:c r="A4" s="6" t="inlineStr">
        <x:is>
          <x:t xml:space="preserve">MinRestHours</x:t>
        </x:is>
      </x:c>
      <x:c r="B4" s="8" t="n">
        <x:v>11</x:v>
      </x:c>
      <x:c r="C4" s="6" t="inlineStr">
        <x:is>
          <x:t xml:space="preserve">hours</x:t>
        </x:is>
      </x:c>
      <x:c r="D4" s="6" t="inlineStr">
        <x:is>
          <x:t xml:space="preserve">Mindest-Ruhezeit zwischen Schichten (Szenario)</x:t>
        </x:is>
      </x:c>
    </x:row>
    <x:row r="5">
      <x:c r="A5" s="6" t="inlineStr">
        <x:is>
          <x:t xml:space="preserve">BreakThresholdHours</x:t>
        </x:is>
      </x:c>
      <x:c r="B5" s="8" t="n">
        <x:v>6</x:v>
      </x:c>
      <x:c r="C5" s="6" t="inlineStr">
        <x:is>
          <x:t xml:space="preserve">hours</x:t>
        </x:is>
      </x:c>
      <x:c r="D5" s="6" t="inlineStr">
        <x:is>
          <x:t xml:space="preserve">Ab dieser Schichtlänge muss Pause eingeplant werden (Szenario)</x:t>
        </x:is>
      </x:c>
    </x:row>
    <x:row r="6">
      <x:c r="A6" s="6" t="inlineStr">
        <x:is>
          <x:t xml:space="preserve">BreakMinutes</x:t>
        </x:is>
      </x:c>
      <x:c r="B6" s="8" t="n">
        <x:v>30</x:v>
      </x:c>
      <x:c r="C6" s="6" t="inlineStr">
        <x:is>
          <x:t xml:space="preserve">minutes</x:t>
        </x:is>
      </x:c>
      <x:c r="D6" s="6" t="inlineStr">
        <x:is>
          <x:t xml:space="preserve">Pausenlänge (Szenario)</x:t>
        </x:is>
      </x:c>
    </x:row>
    <x:row r="7">
      <x:c r="A7" s="6" t="inlineStr">
        <x:is>
          <x:t xml:space="preserve">MinijobMonthlyCapEUR</x:t>
        </x:is>
      </x:c>
      <x:c r="B7" s="9" t="n">
        <x:v>603</x:v>
      </x:c>
      <x:c r="C7" s="6" t="inlineStr">
        <x:is>
          <x:t xml:space="preserve">EUR</x:t>
        </x:is>
      </x:c>
      <x:c r="D7" s="6" t="inlineStr">
        <x:is>
          <x:t xml:space="preserve">Minijob-Grenze ab 01.01.2026 (Szenario)</x:t>
        </x:is>
      </x:c>
    </x:row>
    <x:row r="8">
      <x:c r="A8" s="6" t="inlineStr">
        <x:is>
          <x:t xml:space="preserve">AssumedHourlyWageMinijobEUR</x:t>
        </x:is>
      </x:c>
      <x:c r="B8" s="8" t="n">
        <x:v>14</x:v>
      </x:c>
      <x:c r="C8" s="6" t="inlineStr">
        <x:is>
          <x:t xml:space="preserve">EUR/hour</x:t>
        </x:is>
      </x:c>
      <x:c r="D8" s="6" t="inlineStr">
        <x:is>
          <x:t xml:space="preserve">Nur Plausibilitätscheck</x:t>
        </x:is>
      </x:c>
    </x:row>
    <x:row r="9">
      <x:c r="A9" s="6" t="inlineStr">
        <x:is>
          <x:t xml:space="preserve">DefaultMaxHoursPerDay</x:t>
        </x:is>
      </x:c>
      <x:c r="B9" s="8" t="n">
        <x:v>8</x:v>
      </x:c>
      <x:c r="C9" s="6" t="inlineStr">
        <x:is>
          <x:t xml:space="preserve">hours</x:t>
        </x:is>
      </x:c>
      <x:c r="D9" s="6" t="inlineStr">
        <x:is>
          <x:t xml:space="preserve">Fallback wenn im Mitarbeiterblatt leer</x:t>
        </x:is>
      </x:c>
    </x:row>
    <x:row r="10">
      <x:c r="A10" s="6" t="n"/>
      <x:c r="B10" s="6" t="n"/>
      <x:c r="C10" s="6" t="n"/>
      <x:c r="D10" s="6" t="n"/>
    </x:row>
    <x:row r="11">
      <x:c r="A11" s="6" t="n"/>
      <x:c r="B11" s="6" t="n"/>
      <x:c r="C11" s="6" t="n"/>
      <x:c r="D11" s="6" t="n"/>
    </x:row>
    <x:row r="12">
      <x:c r="A12" s="6" t="n"/>
      <x:c r="B12" s="6" t="n"/>
      <x:c r="C12" s="6" t="n"/>
      <x:c r="D12" s="6" t="n"/>
    </x:row>
    <x:row r="13">
      <x:c r="A13" s="6" t="n"/>
      <x:c r="B13" s="6" t="n"/>
      <x:c r="C13" s="6" t="n"/>
      <x:c r="D13" s="6" t="n"/>
    </x:row>
    <x:row r="14">
      <x:c r="A14" s="6" t="n"/>
      <x:c r="B14" s="6" t="n"/>
      <x:c r="C14" s="6" t="n"/>
      <x:c r="D14" s="6" t="n"/>
    </x:row>
    <x:row r="15">
      <x:c r="A15" s="6" t="n"/>
      <x:c r="B15" s="6" t="n"/>
      <x:c r="C15" s="6" t="n"/>
      <x:c r="D15" s="6" t="n"/>
    </x:row>
    <x:row r="16">
      <x:c r="A16" s="6" t="n"/>
      <x:c r="B16" s="6" t="n"/>
      <x:c r="C16" s="6" t="n"/>
      <x:c r="D16" s="6" t="n"/>
    </x:row>
    <x:row r="17">
      <x:c r="A17" s="6" t="n"/>
      <x:c r="B17" s="6" t="n"/>
      <x:c r="C17" s="6" t="n"/>
      <x:c r="D17" s="6" t="n"/>
    </x:row>
    <x:row r="18">
      <x:c r="A18" s="6" t="n"/>
      <x:c r="B18" s="6" t="n"/>
      <x:c r="C18" s="6" t="n"/>
      <x:c r="D18" s="6" t="n"/>
    </x:row>
    <x:row r="19">
      <x:c r="A19" s="6" t="n"/>
      <x:c r="B19" s="6" t="n"/>
      <x:c r="C19" s="6" t="n"/>
      <x:c r="D19" s="6" t="n"/>
    </x:row>
    <x:row r="20">
      <x:c r="A20" s="6" t="n"/>
      <x:c r="B20" s="6" t="n"/>
      <x:c r="C20" s="6" t="n"/>
      <x:c r="D20" s="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22" customWidth="1"/>
    <x:col min="3" max="3" width="14" customWidth="1"/>
    <x:col min="4" max="4" width="16" customWidth="1"/>
    <x:col min="5" max="5" width="14" customWidth="1"/>
    <x:col min="6" max="6" width="11" customWidth="1"/>
    <x:col min="7" max="7" width="16" customWidth="1"/>
    <x:col min="8" max="8" width="18" customWidth="1"/>
    <x:col min="9" max="9" width="14" customWidth="1"/>
    <x:col min="10" max="10" width="20" customWidth="1"/>
    <x:col min="11" max="11" width="18" customWidth="1"/>
    <x:col min="12" max="12" width="24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  <x:col min="27" max="27" width="14" customWidth="1"/>
    <x:col min="28" max="28" width="38" customWidth="1"/>
    <x:col min="29" max="29" width="14" customWidth="1"/>
    <x:col min="30" max="30" width="16" customWidth="1"/>
    <x:col min="31" max="31" width="18" customWidth="1"/>
  </x:cols>
  <x:sheetData>
    <x:row r="1">
      <x:c r="A1" s="5" t="inlineStr">
        <x:is>
          <x:t xml:space="preserve">EmployeeID</x:t>
        </x:is>
      </x:c>
      <x:c r="B1" s="5" t="inlineStr">
        <x:is>
          <x:t xml:space="preserve">Name</x:t>
        </x:is>
      </x:c>
      <x:c r="C1" s="5" t="inlineStr">
        <x:is>
          <x:t xml:space="preserve">ContractType</x:t>
        </x:is>
      </x:c>
      <x:c r="D1" s="5" t="inlineStr">
        <x:is>
          <x:t xml:space="preserve">WeeklyHoursTarget</x:t>
        </x:is>
      </x:c>
      <x:c r="E1" s="5" t="inlineStr">
        <x:is>
          <x:t xml:space="preserve">MaxHoursPerDay</x:t>
        </x:is>
      </x:c>
      <x:c r="F1" s="5" t="inlineStr">
        <x:is>
          <x:t xml:space="preserve">CanWorkSun</x:t>
        </x:is>
      </x:c>
      <x:c r="G1" s="5" t="inlineStr">
        <x:is>
          <x:t xml:space="preserve">PreferredPattern</x:t>
        </x:is>
      </x:c>
      <x:c r="H1" s="5" t="inlineStr">
        <x:is>
          <x:t xml:space="preserve">Qualified_Filialleiter</x:t>
        </x:is>
      </x:c>
      <x:c r="I1" s="5" t="inlineStr">
        <x:is>
          <x:t xml:space="preserve">Qualified_Kasse</x:t>
        </x:is>
      </x:c>
      <x:c r="J1" s="5" t="inlineStr">
        <x:is>
          <x:t xml:space="preserve">Qualified_Backmeister</x:t>
        </x:is>
      </x:c>
      <x:c r="K1" s="5" t="inlineStr">
        <x:is>
          <x:t xml:space="preserve">Qualified_Baeckerei</x:t>
        </x:is>
      </x:c>
      <x:c r="L1" s="5" t="inlineStr">
        <x:is>
          <x:t xml:space="preserve">Qualified_Baeckerei_Springer</x:t>
        </x:is>
      </x:c>
      <x:c r="M1" s="5" t="inlineStr">
        <x:is>
          <x:t xml:space="preserve">Mon_Earliest</x:t>
        </x:is>
      </x:c>
      <x:c r="N1" s="5" t="inlineStr">
        <x:is>
          <x:t xml:space="preserve">Mon_Latest</x:t>
        </x:is>
      </x:c>
      <x:c r="O1" s="5" t="inlineStr">
        <x:is>
          <x:t xml:space="preserve">Tue_Earliest</x:t>
        </x:is>
      </x:c>
      <x:c r="P1" s="5" t="inlineStr">
        <x:is>
          <x:t xml:space="preserve">Tue_Latest</x:t>
        </x:is>
      </x:c>
      <x:c r="Q1" s="5" t="inlineStr">
        <x:is>
          <x:t xml:space="preserve">Wed_Earliest</x:t>
        </x:is>
      </x:c>
      <x:c r="R1" s="5" t="inlineStr">
        <x:is>
          <x:t xml:space="preserve">Wed_Latest</x:t>
        </x:is>
      </x:c>
      <x:c r="S1" s="5" t="inlineStr">
        <x:is>
          <x:t xml:space="preserve">Thu_Earliest</x:t>
        </x:is>
      </x:c>
      <x:c r="T1" s="5" t="inlineStr">
        <x:is>
          <x:t xml:space="preserve">Thu_Latest</x:t>
        </x:is>
      </x:c>
      <x:c r="U1" s="5" t="inlineStr">
        <x:is>
          <x:t xml:space="preserve">Fri_Earliest</x:t>
        </x:is>
      </x:c>
      <x:c r="V1" s="5" t="inlineStr">
        <x:is>
          <x:t xml:space="preserve">Fri_Latest</x:t>
        </x:is>
      </x:c>
      <x:c r="W1" s="5" t="inlineStr">
        <x:is>
          <x:t xml:space="preserve">Sat_Earliest</x:t>
        </x:is>
      </x:c>
      <x:c r="X1" s="5" t="inlineStr">
        <x:is>
          <x:t xml:space="preserve">Sat_Latest</x:t>
        </x:is>
      </x:c>
      <x:c r="Y1" s="5" t="inlineStr">
        <x:is>
          <x:t xml:space="preserve">Sun_Earliest</x:t>
        </x:is>
      </x:c>
      <x:c r="Z1" s="5" t="inlineStr">
        <x:is>
          <x:t xml:space="preserve">Sun_Latest</x:t>
        </x:is>
      </x:c>
      <x:c r="AA1" s="5" t="inlineStr">
        <x:is>
          <x:t xml:space="preserve">HourlyCostEUR</x:t>
        </x:is>
      </x:c>
      <x:c r="AB1" s="5" t="inlineStr">
        <x:is>
          <x:t xml:space="preserve">Notes</x:t>
        </x:is>
      </x:c>
      <x:c r="AC1" s="5" t="inlineStr">
        <x:is>
          <x:t xml:space="preserve">EstMonthlyHours</x:t>
        </x:is>
      </x:c>
      <x:c r="AD1" s="5" t="inlineStr">
        <x:is>
          <x:t xml:space="preserve">EstMonthlyPayEUR</x:t>
        </x:is>
      </x:c>
      <x:c r="AE1" s="5" t="inlineStr">
        <x:is>
          <x:t xml:space="preserve">MinijobCapExceeded?</x:t>
        </x:is>
      </x:c>
    </x:row>
    <x:row r="2">
      <x:c r="A2" s="6" t="inlineStr">
        <x:is>
          <x:t xml:space="preserve">E001</x:t>
        </x:is>
      </x:c>
      <x:c r="B2" s="6" t="inlineStr">
        <x:is>
          <x:t xml:space="preserve">Filialleitung (Mara)</x:t>
        </x:is>
      </x:c>
      <x:c r="C2" s="8" t="inlineStr">
        <x:is>
          <x:t xml:space="preserve">FullTime</x:t>
        </x:is>
      </x:c>
      <x:c r="D2" s="8" t="n">
        <x:v>38</x:v>
      </x:c>
      <x:c r="E2" s="8" t="n">
        <x:v>8</x:v>
      </x:c>
      <x:c r="F2" s="8" t="n">
        <x:v>0</x:v>
      </x:c>
      <x:c r="G2" s="8" t="inlineStr">
        <x:is>
          <x:t xml:space="preserve">Early+Mid</x:t>
        </x:is>
      </x:c>
      <x:c r="H2" s="8" t="n">
        <x:v>1</x:v>
      </x:c>
      <x:c r="I2" s="8" t="n">
        <x:v>1</x:v>
      </x:c>
      <x:c r="J2" s="8" t="n">
        <x:v>0</x:v>
      </x:c>
      <x:c r="K2" s="8" t="n">
        <x:v>0</x:v>
      </x:c>
      <x:c r="L2" s="8" t="n">
        <x:v>0</x:v>
      </x:c>
      <x:c r="M2" s="10" t="n">
        <x:v>0.2291666666666667</x:v>
      </x:c>
      <x:c r="N2" s="10" t="n">
        <x:v>0.5833333333333334</x:v>
      </x:c>
      <x:c r="O2" s="10" t="n">
        <x:v>0.2291666666666667</x:v>
      </x:c>
      <x:c r="P2" s="10" t="n">
        <x:v>0.5833333333333334</x:v>
      </x:c>
      <x:c r="Q2" s="10" t="n">
        <x:v>0.2291666666666667</x:v>
      </x:c>
      <x:c r="R2" s="10" t="n">
        <x:v>0.5833333333333334</x:v>
      </x:c>
      <x:c r="S2" s="10" t="n">
        <x:v>0.2291666666666667</x:v>
      </x:c>
      <x:c r="T2" s="10" t="n">
        <x:v>0.5833333333333334</x:v>
      </x:c>
      <x:c r="U2" s="10" t="n">
        <x:v>0.2291666666666667</x:v>
      </x:c>
      <x:c r="V2" s="10" t="n">
        <x:v>0.5833333333333334</x:v>
      </x:c>
      <x:c r="W2" s="10" t="n">
        <x:v>0.25</x:v>
      </x:c>
      <x:c r="X2" s="10" t="n">
        <x:v>0.5</x:v>
      </x:c>
      <x:c r="Y2" s="8" t="n"/>
      <x:c r="Z2" s="8" t="n"/>
      <x:c r="AA2" s="9" t="n">
        <x:v>20</x:v>
      </x:c>
      <x:c r="AB2" s="8" t="inlineStr">
        <x:is>
          <x:t xml:space="preserve">Schlüsselträger, Kassenabschluss</x:t>
        </x:is>
      </x:c>
      <x:c r="AC2" s="11">
        <x:f>D2*4.33</x:f>
        <x:v>164.54</x:v>
      </x:c>
      <x:c r="AD2" s="12">
        <x:f>AC2*AA2</x:f>
        <x:v>3290.7999999999997</x:v>
      </x:c>
      <x:c r="AE2" s="13">
        <x:f>IF(AND(C2="Minijob",AD2&gt;PARAMS!$B$6),"YES","")</x:f>
      </x:c>
    </x:row>
    <x:row r="3">
      <x:c r="A3" s="6" t="inlineStr">
        <x:is>
          <x:t xml:space="preserve">E002</x:t>
        </x:is>
      </x:c>
      <x:c r="B3" s="6" t="inlineStr">
        <x:is>
          <x:t xml:space="preserve">Kasse (Jonas)</x:t>
        </x:is>
      </x:c>
      <x:c r="C3" s="8" t="inlineStr">
        <x:is>
          <x:t xml:space="preserve">PartTime</x:t>
        </x:is>
      </x:c>
      <x:c r="D3" s="8" t="n">
        <x:v>30</x:v>
      </x:c>
      <x:c r="E3" s="8" t="n">
        <x:v>8</x:v>
      </x:c>
      <x:c r="F3" s="8" t="n">
        <x:v>1</x:v>
      </x:c>
      <x:c r="G3" s="8" t="inlineStr">
        <x:is>
          <x:t xml:space="preserve">Early</x:t>
        </x:is>
      </x:c>
      <x:c r="H3" s="8" t="n">
        <x:v>0</x:v>
      </x:c>
      <x:c r="I3" s="8" t="n">
        <x:v>1</x:v>
      </x:c>
      <x:c r="J3" s="8" t="n">
        <x:v>0</x:v>
      </x:c>
      <x:c r="K3" s="8" t="n">
        <x:v>0</x:v>
      </x:c>
      <x:c r="L3" s="8" t="n">
        <x:v>0</x:v>
      </x:c>
      <x:c r="M3" s="10" t="n">
        <x:v>0.2083333333333333</x:v>
      </x:c>
      <x:c r="N3" s="10" t="n">
        <x:v>0.5416666666666666</x:v>
      </x:c>
      <x:c r="O3" s="10" t="n">
        <x:v>0.2083333333333333</x:v>
      </x:c>
      <x:c r="P3" s="10" t="n">
        <x:v>0.5416666666666666</x:v>
      </x:c>
      <x:c r="Q3" s="10" t="n">
        <x:v>0.2083333333333333</x:v>
      </x:c>
      <x:c r="R3" s="10" t="n">
        <x:v>0.5416666666666666</x:v>
      </x:c>
      <x:c r="S3" s="10" t="n">
        <x:v>0.2083333333333333</x:v>
      </x:c>
      <x:c r="T3" s="10" t="n">
        <x:v>0.5416666666666666</x:v>
      </x:c>
      <x:c r="U3" s="10" t="n">
        <x:v>0.2083333333333333</x:v>
      </x:c>
      <x:c r="V3" s="10" t="n">
        <x:v>0.5416666666666666</x:v>
      </x:c>
      <x:c r="W3" s="10" t="n">
        <x:v>0.25</x:v>
      </x:c>
      <x:c r="X3" s="10" t="n">
        <x:v>0.5833333333333334</x:v>
      </x:c>
      <x:c r="Y3" s="10" t="n">
        <x:v>0.2916666666666667</x:v>
      </x:c>
      <x:c r="Z3" s="10" t="n">
        <x:v>0.5</x:v>
      </x:c>
      <x:c r="AA3" s="9" t="n">
        <x:v>16</x:v>
      </x:c>
      <x:c r="AB3" s="8" t="inlineStr">
        <x:is>
          <x:t xml:space="preserve">Sehr zuverlässig im Frühdienst</x:t>
        </x:is>
      </x:c>
      <x:c r="AC3" s="11">
        <x:f>D3*4.33</x:f>
        <x:v>129.9</x:v>
      </x:c>
      <x:c r="AD3" s="12">
        <x:f>AC3*AA3</x:f>
        <x:v>2078.4</x:v>
      </x:c>
      <x:c r="AE3" s="13">
        <x:f>IF(AND(C3="Minijob",AD3&gt;PARAMS!$B$6),"YES","")</x:f>
      </x:c>
    </x:row>
    <x:row r="4">
      <x:c r="A4" s="6" t="inlineStr">
        <x:is>
          <x:t xml:space="preserve">E003</x:t>
        </x:is>
      </x:c>
      <x:c r="B4" s="6" t="inlineStr">
        <x:is>
          <x:t xml:space="preserve">Kasse (Aylin)</x:t>
        </x:is>
      </x:c>
      <x:c r="C4" s="8" t="inlineStr">
        <x:is>
          <x:t xml:space="preserve">PartTime</x:t>
        </x:is>
      </x:c>
      <x:c r="D4" s="8" t="n">
        <x:v>25</x:v>
      </x:c>
      <x:c r="E4" s="8" t="n">
        <x:v>8</x:v>
      </x:c>
      <x:c r="F4" s="8" t="n">
        <x:v>0</x:v>
      </x:c>
      <x:c r="G4" s="8" t="inlineStr">
        <x:is>
          <x:t xml:space="preserve">Mid+Late</x:t>
        </x:is>
      </x:c>
      <x:c r="H4" s="8" t="n">
        <x:v>0</x:v>
      </x:c>
      <x:c r="I4" s="8" t="n">
        <x:v>1</x:v>
      </x:c>
      <x:c r="J4" s="8" t="n">
        <x:v>0</x:v>
      </x:c>
      <x:c r="K4" s="8" t="n">
        <x:v>0</x:v>
      </x:c>
      <x:c r="L4" s="8" t="n">
        <x:v>0</x:v>
      </x:c>
      <x:c r="M4" s="10" t="n">
        <x:v>0.375</x:v>
      </x:c>
      <x:c r="N4" s="10" t="n">
        <x:v>0.7708333333333334</x:v>
      </x:c>
      <x:c r="O4" s="10" t="n">
        <x:v>0.375</x:v>
      </x:c>
      <x:c r="P4" s="10" t="n">
        <x:v>0.7708333333333334</x:v>
      </x:c>
      <x:c r="Q4" s="10" t="n">
        <x:v>0.375</x:v>
      </x:c>
      <x:c r="R4" s="10" t="n">
        <x:v>0.7708333333333334</x:v>
      </x:c>
      <x:c r="S4" s="10" t="n">
        <x:v>0.375</x:v>
      </x:c>
      <x:c r="T4" s="10" t="n">
        <x:v>0.7708333333333334</x:v>
      </x:c>
      <x:c r="U4" s="10" t="n">
        <x:v>0.375</x:v>
      </x:c>
      <x:c r="V4" s="10" t="n">
        <x:v>0.7708333333333334</x:v>
      </x:c>
      <x:c r="W4" s="10" t="n">
        <x:v>0.3333333333333333</x:v>
      </x:c>
      <x:c r="X4" s="10" t="n">
        <x:v>0.6875</x:v>
      </x:c>
      <x:c r="Y4" s="8" t="n"/>
      <x:c r="Z4" s="8" t="n"/>
      <x:c r="AA4" s="9" t="n">
        <x:v>15.5</x:v>
      </x:c>
      <x:c r="AB4" s="8" t="inlineStr">
        <x:is>
          <x:t xml:space="preserve">Kann keinen Sonntag</x:t>
        </x:is>
      </x:c>
      <x:c r="AC4" s="11">
        <x:f>D4*4.33</x:f>
        <x:v>108.25</x:v>
      </x:c>
      <x:c r="AD4" s="12">
        <x:f>AC4*AA4</x:f>
        <x:v>1677.875</x:v>
      </x:c>
      <x:c r="AE4" s="13">
        <x:f>IF(AND(C4="Minijob",AD4&gt;PARAMS!$B$6),"YES","")</x:f>
      </x:c>
    </x:row>
    <x:row r="5">
      <x:c r="A5" s="6" t="inlineStr">
        <x:is>
          <x:t xml:space="preserve">E004</x:t>
        </x:is>
      </x:c>
      <x:c r="B5" s="6" t="inlineStr">
        <x:is>
          <x:t xml:space="preserve">Kasse (Svenja)</x:t>
        </x:is>
      </x:c>
      <x:c r="C5" s="8" t="inlineStr">
        <x:is>
          <x:t xml:space="preserve">Minijob</x:t>
        </x:is>
      </x:c>
      <x:c r="D5" s="8" t="n">
        <x:v>10</x:v>
      </x:c>
      <x:c r="E5" s="8" t="n">
        <x:v>6</x:v>
      </x:c>
      <x:c r="F5" s="8" t="n">
        <x:v>1</x:v>
      </x:c>
      <x:c r="G5" s="8" t="inlineStr">
        <x:is>
          <x:t xml:space="preserve">Weekend+Late</x:t>
        </x:is>
      </x:c>
      <x:c r="H5" s="8" t="n">
        <x:v>0</x:v>
      </x:c>
      <x:c r="I5" s="8" t="n">
        <x:v>1</x:v>
      </x:c>
      <x:c r="J5" s="8" t="n">
        <x:v>0</x:v>
      </x:c>
      <x:c r="K5" s="8" t="n">
        <x:v>0</x:v>
      </x:c>
      <x:c r="L5" s="8" t="n">
        <x:v>0</x:v>
      </x:c>
      <x:c r="M5" s="8" t="n"/>
      <x:c r="N5" s="8" t="n"/>
      <x:c r="O5" s="10" t="n">
        <x:v>0.5</x:v>
      </x:c>
      <x:c r="P5" s="10" t="n">
        <x:v>0.7708333333333334</x:v>
      </x:c>
      <x:c r="Q5" s="8" t="n"/>
      <x:c r="R5" s="8" t="n"/>
      <x:c r="S5" s="10" t="n">
        <x:v>0.5</x:v>
      </x:c>
      <x:c r="T5" s="10" t="n">
        <x:v>0.7708333333333334</x:v>
      </x:c>
      <x:c r="U5" s="8" t="n"/>
      <x:c r="V5" s="8" t="n"/>
      <x:c r="W5" s="10" t="n">
        <x:v>0.3333333333333333</x:v>
      </x:c>
      <x:c r="X5" s="10" t="n">
        <x:v>0.6875</x:v>
      </x:c>
      <x:c r="Y5" s="10" t="n">
        <x:v>0.2916666666666667</x:v>
      </x:c>
      <x:c r="Z5" s="10" t="n">
        <x:v>0.5</x:v>
      </x:c>
      <x:c r="AA5" s="9" t="n">
        <x:v>14.5</x:v>
      </x:c>
      <x:c r="AB5" s="8" t="inlineStr">
        <x:is>
          <x:t xml:space="preserve">Bevorzugt Di/Do spät + Wochenende</x:t>
        </x:is>
      </x:c>
      <x:c r="AC5" s="11">
        <x:f>D5*4.33</x:f>
        <x:v>43.3</x:v>
      </x:c>
      <x:c r="AD5" s="12">
        <x:f>AC5*AA5</x:f>
        <x:v>627.8499999999999</x:v>
      </x:c>
      <x:c r="AE5" s="13" t="str">
        <x:f>IF(AND(C5="Minijob",AD5&gt;PARAMS!$B$6),"YES","")</x:f>
        <x:v>YES</x:v>
      </x:c>
    </x:row>
    <x:row r="6">
      <x:c r="A6" s="6" t="inlineStr">
        <x:is>
          <x:t xml:space="preserve">E005</x:t>
        </x:is>
      </x:c>
      <x:c r="B6" s="6" t="inlineStr">
        <x:is>
          <x:t xml:space="preserve">Kasse (Hakan)</x:t>
        </x:is>
      </x:c>
      <x:c r="C6" s="8" t="inlineStr">
        <x:is>
          <x:t xml:space="preserve">PartTime</x:t>
        </x:is>
      </x:c>
      <x:c r="D6" s="8" t="n">
        <x:v>20</x:v>
      </x:c>
      <x:c r="E6" s="8" t="n">
        <x:v>8</x:v>
      </x:c>
      <x:c r="F6" s="8" t="n">
        <x:v>1</x:v>
      </x:c>
      <x:c r="G6" s="8" t="inlineStr">
        <x:is>
          <x:t xml:space="preserve">Early+Weekend</x:t>
        </x:is>
      </x:c>
      <x:c r="H6" s="8" t="n">
        <x:v>0</x:v>
      </x:c>
      <x:c r="I6" s="8" t="n">
        <x:v>1</x:v>
      </x:c>
      <x:c r="J6" s="8" t="n">
        <x:v>0</x:v>
      </x:c>
      <x:c r="K6" s="8" t="n">
        <x:v>0</x:v>
      </x:c>
      <x:c r="L6" s="8" t="n">
        <x:v>0</x:v>
      </x:c>
      <x:c r="M6" s="10" t="n">
        <x:v>0.25</x:v>
      </x:c>
      <x:c r="N6" s="10" t="n">
        <x:v>0.5</x:v>
      </x:c>
      <x:c r="O6" s="8" t="n"/>
      <x:c r="P6" s="8" t="n"/>
      <x:c r="Q6" s="10" t="n">
        <x:v>0.25</x:v>
      </x:c>
      <x:c r="R6" s="10" t="n">
        <x:v>0.5</x:v>
      </x:c>
      <x:c r="S6" s="8" t="n"/>
      <x:c r="T6" s="8" t="n"/>
      <x:c r="U6" s="10" t="n">
        <x:v>0.25</x:v>
      </x:c>
      <x:c r="V6" s="10" t="n">
        <x:v>0.5</x:v>
      </x:c>
      <x:c r="W6" s="10" t="n">
        <x:v>0.25</x:v>
      </x:c>
      <x:c r="X6" s="10" t="n">
        <x:v>0.5833333333333334</x:v>
      </x:c>
      <x:c r="Y6" s="10" t="n">
        <x:v>0.2916666666666667</x:v>
      </x:c>
      <x:c r="Z6" s="10" t="n">
        <x:v>0.5</x:v>
      </x:c>
      <x:c r="AA6" s="9" t="n">
        <x:v>15</x:v>
      </x:c>
      <x:c r="AB6" s="8" t="inlineStr">
        <x:is>
          <x:t xml:space="preserve">Nur Mo/Mi/Fr + Wochenenden</x:t>
        </x:is>
      </x:c>
      <x:c r="AC6" s="11">
        <x:f>D6*4.33</x:f>
        <x:v>86.6</x:v>
      </x:c>
      <x:c r="AD6" s="12">
        <x:f>AC6*AA6</x:f>
        <x:v>1299</x:v>
      </x:c>
      <x:c r="AE6" s="13">
        <x:f>IF(AND(C6="Minijob",AD6&gt;PARAMS!$B$6),"YES","")</x:f>
      </x:c>
    </x:row>
    <x:row r="7">
      <x:c r="A7" s="6" t="inlineStr">
        <x:is>
          <x:t xml:space="preserve">E006</x:t>
        </x:is>
      </x:c>
      <x:c r="B7" s="6" t="inlineStr">
        <x:is>
          <x:t xml:space="preserve">Kasse (Lea, Azubi)</x:t>
        </x:is>
      </x:c>
      <x:c r="C7" s="8" t="inlineStr">
        <x:is>
          <x:t xml:space="preserve">Apprentice</x:t>
        </x:is>
      </x:c>
      <x:c r="D7" s="8" t="n">
        <x:v>35</x:v>
      </x:c>
      <x:c r="E7" s="8" t="n">
        <x:v>8</x:v>
      </x:c>
      <x:c r="F7" s="8" t="n">
        <x:v>0</x:v>
      </x:c>
      <x:c r="G7" s="8" t="inlineStr">
        <x:is>
          <x:t xml:space="preserve">Mixed</x:t>
        </x:is>
      </x:c>
      <x:c r="H7" s="8" t="n">
        <x:v>0</x:v>
      </x:c>
      <x:c r="I7" s="8" t="n">
        <x:v>1</x:v>
      </x:c>
      <x:c r="J7" s="8" t="n">
        <x:v>0</x:v>
      </x:c>
      <x:c r="K7" s="8" t="n">
        <x:v>0</x:v>
      </x:c>
      <x:c r="L7" s="8" t="n">
        <x:v>0</x:v>
      </x:c>
      <x:c r="M7" s="10" t="n">
        <x:v>0.25</x:v>
      </x:c>
      <x:c r="N7" s="10" t="n">
        <x:v>0.5833333333333334</x:v>
      </x:c>
      <x:c r="O7" s="10" t="n">
        <x:v>0.25</x:v>
      </x:c>
      <x:c r="P7" s="10" t="n">
        <x:v>0.5833333333333334</x:v>
      </x:c>
      <x:c r="Q7" s="8" t="n"/>
      <x:c r="R7" s="8" t="n"/>
      <x:c r="S7" s="10" t="n">
        <x:v>0.25</x:v>
      </x:c>
      <x:c r="T7" s="10" t="n">
        <x:v>0.5833333333333334</x:v>
      </x:c>
      <x:c r="U7" s="10" t="n">
        <x:v>0.25</x:v>
      </x:c>
      <x:c r="V7" s="10" t="n">
        <x:v>0.5833333333333334</x:v>
      </x:c>
      <x:c r="W7" s="10" t="n">
        <x:v>0.2916666666666667</x:v>
      </x:c>
      <x:c r="X7" s="10" t="n">
        <x:v>0.5416666666666666</x:v>
      </x:c>
      <x:c r="Y7" s="8" t="n"/>
      <x:c r="Z7" s="8" t="n"/>
      <x:c r="AA7" s="9" t="n">
        <x:v>12.5</x:v>
      </x:c>
      <x:c r="AB7" s="8" t="inlineStr">
        <x:is>
          <x:t xml:space="preserve">Mi Berufsschule (nicht verfügbar)</x:t>
        </x:is>
      </x:c>
      <x:c r="AC7" s="11">
        <x:f>D7*4.33</x:f>
        <x:v>151.55</x:v>
      </x:c>
      <x:c r="AD7" s="12">
        <x:f>AC7*AA7</x:f>
        <x:v>1894.3750000000002</x:v>
      </x:c>
      <x:c r="AE7" s="13">
        <x:f>IF(AND(C7="Minijob",AD7&gt;PARAMS!$B$6),"YES","")</x:f>
      </x:c>
    </x:row>
    <x:row r="8">
      <x:c r="A8" s="6" t="inlineStr">
        <x:is>
          <x:t xml:space="preserve">E007</x:t>
        </x:is>
      </x:c>
      <x:c r="B8" s="6" t="inlineStr">
        <x:is>
          <x:t xml:space="preserve">Kasse+Service (Noah)</x:t>
        </x:is>
      </x:c>
      <x:c r="C8" s="8" t="inlineStr">
        <x:is>
          <x:t xml:space="preserve">PartTime</x:t>
        </x:is>
      </x:c>
      <x:c r="D8" s="8" t="n">
        <x:v>28</x:v>
      </x:c>
      <x:c r="E8" s="8" t="n">
        <x:v>8</x:v>
      </x:c>
      <x:c r="F8" s="8" t="n">
        <x:v>1</x:v>
      </x:c>
      <x:c r="G8" s="8" t="inlineStr">
        <x:is>
          <x:t xml:space="preserve">Mid</x:t>
        </x:is>
      </x:c>
      <x:c r="H8" s="8" t="n">
        <x:v>0</x:v>
      </x:c>
      <x:c r="I8" s="8" t="n">
        <x:v>1</x:v>
      </x:c>
      <x:c r="J8" s="8" t="n">
        <x:v>0</x:v>
      </x:c>
      <x:c r="K8" s="8" t="n">
        <x:v>0</x:v>
      </x:c>
      <x:c r="L8" s="8" t="n">
        <x:v>0</x:v>
      </x:c>
      <x:c r="M8" s="10" t="n">
        <x:v>0.2916666666666667</x:v>
      </x:c>
      <x:c r="N8" s="10" t="n">
        <x:v>0.6666666666666666</x:v>
      </x:c>
      <x:c r="O8" s="10" t="n">
        <x:v>0.2916666666666667</x:v>
      </x:c>
      <x:c r="P8" s="10" t="n">
        <x:v>0.6666666666666666</x:v>
      </x:c>
      <x:c r="Q8" s="10" t="n">
        <x:v>0.2916666666666667</x:v>
      </x:c>
      <x:c r="R8" s="10" t="n">
        <x:v>0.6666666666666666</x:v>
      </x:c>
      <x:c r="S8" s="10" t="n">
        <x:v>0.2916666666666667</x:v>
      </x:c>
      <x:c r="T8" s="10" t="n">
        <x:v>0.6666666666666666</x:v>
      </x:c>
      <x:c r="U8" s="10" t="n">
        <x:v>0.2916666666666667</x:v>
      </x:c>
      <x:c r="V8" s="10" t="n">
        <x:v>0.6666666666666666</x:v>
      </x:c>
      <x:c r="W8" s="10" t="n">
        <x:v>0.3333333333333333</x:v>
      </x:c>
      <x:c r="X8" s="10" t="n">
        <x:v>0.6666666666666666</x:v>
      </x:c>
      <x:c r="Y8" s="10" t="n">
        <x:v>0.2916666666666667</x:v>
      </x:c>
      <x:c r="Z8" s="10" t="n">
        <x:v>0.5</x:v>
      </x:c>
      <x:c r="AA8" s="9" t="n">
        <x:v>15.8</x:v>
      </x:c>
      <x:c r="AB8" s="8" t="inlineStr">
        <x:is>
          <x:t xml:space="preserve">Kann auch Kassenabschluss nach Training</x:t>
        </x:is>
      </x:c>
      <x:c r="AC8" s="11">
        <x:f>D8*4.33</x:f>
        <x:v>121.24000000000001</x:v>
      </x:c>
      <x:c r="AD8" s="12">
        <x:f>AC8*AA8</x:f>
        <x:v>1915.5920000000003</x:v>
      </x:c>
      <x:c r="AE8" s="13">
        <x:f>IF(AND(C8="Minijob",AD8&gt;PARAMS!$B$6),"YES","")</x:f>
      </x:c>
    </x:row>
    <x:row r="9">
      <x:c r="A9" s="6" t="inlineStr">
        <x:is>
          <x:t xml:space="preserve">E008</x:t>
        </x:is>
      </x:c>
      <x:c r="B9" s="6" t="inlineStr">
        <x:is>
          <x:t xml:space="preserve">Backmeister (Ralf)</x:t>
        </x:is>
      </x:c>
      <x:c r="C9" s="8" t="inlineStr">
        <x:is>
          <x:t xml:space="preserve">FullTime</x:t>
        </x:is>
      </x:c>
      <x:c r="D9" s="8" t="n">
        <x:v>40</x:v>
      </x:c>
      <x:c r="E9" s="8" t="n">
        <x:v>9</x:v>
      </x:c>
      <x:c r="F9" s="8" t="n">
        <x:v>0</x:v>
      </x:c>
      <x:c r="G9" s="8" t="inlineStr">
        <x:is>
          <x:t xml:space="preserve">Night+Morning</x:t>
        </x:is>
      </x:c>
      <x:c r="H9" s="8" t="n">
        <x:v>0</x:v>
      </x:c>
      <x:c r="I9" s="8" t="n">
        <x:v>0</x:v>
      </x:c>
      <x:c r="J9" s="8" t="n">
        <x:v>1</x:v>
      </x:c>
      <x:c r="K9" s="8" t="n">
        <x:v>1</x:v>
      </x:c>
      <x:c r="L9" s="8" t="n">
        <x:v>1</x:v>
      </x:c>
      <x:c r="M9" s="10" t="n">
        <x:v>0.08333333333333333</x:v>
      </x:c>
      <x:c r="N9" s="10" t="n">
        <x:v>0.4583333333333333</x:v>
      </x:c>
      <x:c r="O9" s="10" t="n">
        <x:v>0.08333333333333333</x:v>
      </x:c>
      <x:c r="P9" s="10" t="n">
        <x:v>0.4583333333333333</x:v>
      </x:c>
      <x:c r="Q9" s="10" t="n">
        <x:v>0.08333333333333333</x:v>
      </x:c>
      <x:c r="R9" s="10" t="n">
        <x:v>0.4583333333333333</x:v>
      </x:c>
      <x:c r="S9" s="10" t="n">
        <x:v>0.08333333333333333</x:v>
      </x:c>
      <x:c r="T9" s="10" t="n">
        <x:v>0.4583333333333333</x:v>
      </x:c>
      <x:c r="U9" s="10" t="n">
        <x:v>0.08333333333333333</x:v>
      </x:c>
      <x:c r="V9" s="10" t="n">
        <x:v>0.4583333333333333</x:v>
      </x:c>
      <x:c r="W9" s="10" t="n">
        <x:v>0.125</x:v>
      </x:c>
      <x:c r="X9" s="10" t="n">
        <x:v>0.5</x:v>
      </x:c>
      <x:c r="Y9" s="8" t="n"/>
      <x:c r="Z9" s="8" t="n"/>
      <x:c r="AA9" s="9" t="n">
        <x:v>24</x:v>
      </x:c>
      <x:c r="AB9" s="8" t="inlineStr">
        <x:is>
          <x:t xml:space="preserve">Verantwortlich Backstube, Mentor für Azubis</x:t>
        </x:is>
      </x:c>
      <x:c r="AC9" s="11">
        <x:f>D9*4.33</x:f>
        <x:v>173.2</x:v>
      </x:c>
      <x:c r="AD9" s="12">
        <x:f>AC9*AA9</x:f>
        <x:v>4156.799999999999</x:v>
      </x:c>
      <x:c r="AE9" s="13">
        <x:f>IF(AND(C9="Minijob",AD9&gt;PARAMS!$B$6),"YES","")</x:f>
      </x:c>
    </x:row>
    <x:row r="10">
      <x:c r="A10" s="6" t="inlineStr">
        <x:is>
          <x:t xml:space="preserve">E009</x:t>
        </x:is>
      </x:c>
      <x:c r="B10" s="6" t="inlineStr">
        <x:is>
          <x:t xml:space="preserve">Bäckerei (Sabrina)</x:t>
        </x:is>
      </x:c>
      <x:c r="C10" s="8" t="inlineStr">
        <x:is>
          <x:t xml:space="preserve">FullTime</x:t>
        </x:is>
      </x:c>
      <x:c r="D10" s="8" t="n">
        <x:v>38</x:v>
      </x:c>
      <x:c r="E10" s="8" t="n">
        <x:v>8</x:v>
      </x:c>
      <x:c r="F10" s="8" t="n">
        <x:v>0</x:v>
      </x:c>
      <x:c r="G10" s="8" t="inlineStr">
        <x:is>
          <x:t xml:space="preserve">Morning</x:t>
        </x:is>
      </x:c>
      <x:c r="H10" s="8" t="n">
        <x:v>0</x:v>
      </x:c>
      <x:c r="I10" s="8" t="n">
        <x:v>0</x:v>
      </x:c>
      <x:c r="J10" s="8" t="n">
        <x:v>0</x:v>
      </x:c>
      <x:c r="K10" s="8" t="n">
        <x:v>1</x:v>
      </x:c>
      <x:c r="L10" s="8" t="n">
        <x:v>1</x:v>
      </x:c>
      <x:c r="M10" s="10" t="n">
        <x:v>0.2083333333333333</x:v>
      </x:c>
      <x:c r="N10" s="10" t="n">
        <x:v>0.5833333333333334</x:v>
      </x:c>
      <x:c r="O10" s="10" t="n">
        <x:v>0.2083333333333333</x:v>
      </x:c>
      <x:c r="P10" s="10" t="n">
        <x:v>0.5833333333333334</x:v>
      </x:c>
      <x:c r="Q10" s="10" t="n">
        <x:v>0.2083333333333333</x:v>
      </x:c>
      <x:c r="R10" s="10" t="n">
        <x:v>0.5833333333333334</x:v>
      </x:c>
      <x:c r="S10" s="10" t="n">
        <x:v>0.2083333333333333</x:v>
      </x:c>
      <x:c r="T10" s="10" t="n">
        <x:v>0.5833333333333334</x:v>
      </x:c>
      <x:c r="U10" s="10" t="n">
        <x:v>0.2083333333333333</x:v>
      </x:c>
      <x:c r="V10" s="10" t="n">
        <x:v>0.5833333333333334</x:v>
      </x:c>
      <x:c r="W10" s="10" t="n">
        <x:v>0.25</x:v>
      </x:c>
      <x:c r="X10" s="10" t="n">
        <x:v>0.5833333333333334</x:v>
      </x:c>
      <x:c r="Y10" s="8" t="n"/>
      <x:c r="Z10" s="8" t="n"/>
      <x:c r="AA10" s="9" t="n">
        <x:v>18.5</x:v>
      </x:c>
      <x:c r="AB10" s="8" t="inlineStr">
        <x:is>
          <x:t xml:space="preserve">Springt in Backstube zwischen Stationen</x:t>
        </x:is>
      </x:c>
      <x:c r="AC10" s="11">
        <x:f>D10*4.33</x:f>
        <x:v>164.54</x:v>
      </x:c>
      <x:c r="AD10" s="12">
        <x:f>AC10*AA10</x:f>
        <x:v>3043.99</x:v>
      </x:c>
      <x:c r="AE10" s="13">
        <x:f>IF(AND(C10="Minijob",AD10&gt;PARAMS!$B$6),"YES","")</x:f>
      </x:c>
    </x:row>
    <x:row r="11">
      <x:c r="A11" s="6" t="inlineStr">
        <x:is>
          <x:t xml:space="preserve">E010</x:t>
        </x:is>
      </x:c>
      <x:c r="B11" s="6" t="inlineStr">
        <x:is>
          <x:t xml:space="preserve">Bäckerei (Deniz)</x:t>
        </x:is>
      </x:c>
      <x:c r="C11" s="8" t="inlineStr">
        <x:is>
          <x:t xml:space="preserve">PartTime</x:t>
        </x:is>
      </x:c>
      <x:c r="D11" s="8" t="n">
        <x:v>30</x:v>
      </x:c>
      <x:c r="E11" s="8" t="n">
        <x:v>8</x:v>
      </x:c>
      <x:c r="F11" s="8" t="n">
        <x:v>0</x:v>
      </x:c>
      <x:c r="G11" s="8" t="inlineStr">
        <x:is>
          <x:t xml:space="preserve">Morning</x:t>
        </x:is>
      </x:c>
      <x:c r="H11" s="8" t="n">
        <x:v>0</x:v>
      </x:c>
      <x:c r="I11" s="8" t="n">
        <x:v>0</x:v>
      </x:c>
      <x:c r="J11" s="8" t="n">
        <x:v>0</x:v>
      </x:c>
      <x:c r="K11" s="8" t="n">
        <x:v>1</x:v>
      </x:c>
      <x:c r="L11" s="8" t="n">
        <x:v>0</x:v>
      </x:c>
      <x:c r="M11" s="10" t="n">
        <x:v>0.2083333333333333</x:v>
      </x:c>
      <x:c r="N11" s="10" t="n">
        <x:v>0.5416666666666666</x:v>
      </x:c>
      <x:c r="O11" s="10" t="n">
        <x:v>0.2083333333333333</x:v>
      </x:c>
      <x:c r="P11" s="10" t="n">
        <x:v>0.5416666666666666</x:v>
      </x:c>
      <x:c r="Q11" s="10" t="n">
        <x:v>0.2083333333333333</x:v>
      </x:c>
      <x:c r="R11" s="10" t="n">
        <x:v>0.5416666666666666</x:v>
      </x:c>
      <x:c r="S11" s="10" t="n">
        <x:v>0.2083333333333333</x:v>
      </x:c>
      <x:c r="T11" s="10" t="n">
        <x:v>0.5416666666666666</x:v>
      </x:c>
      <x:c r="U11" s="10" t="n">
        <x:v>0.2083333333333333</x:v>
      </x:c>
      <x:c r="V11" s="10" t="n">
        <x:v>0.5416666666666666</x:v>
      </x:c>
      <x:c r="W11" s="10" t="n">
        <x:v>0.25</x:v>
      </x:c>
      <x:c r="X11" s="10" t="n">
        <x:v>0.5833333333333334</x:v>
      </x:c>
      <x:c r="Y11" s="8" t="n"/>
      <x:c r="Z11" s="8" t="n"/>
      <x:c r="AA11" s="9" t="n">
        <x:v>17</x:v>
      </x:c>
      <x:c r="AB11" s="8" t="inlineStr">
        <x:is>
          <x:t xml:space="preserve">Keine Nacht, erst ab 05:00</x:t>
        </x:is>
      </x:c>
      <x:c r="AC11" s="11">
        <x:f>D11*4.33</x:f>
        <x:v>129.9</x:v>
      </x:c>
      <x:c r="AD11" s="12">
        <x:f>AC11*AA11</x:f>
        <x:v>2208.3</x:v>
      </x:c>
      <x:c r="AE11" s="13">
        <x:f>IF(AND(C11="Minijob",AD11&gt;PARAMS!$B$6),"YES","")</x:f>
      </x:c>
    </x:row>
    <x:row r="12">
      <x:c r="A12" s="6" t="inlineStr">
        <x:is>
          <x:t xml:space="preserve">E011</x:t>
        </x:is>
      </x:c>
      <x:c r="B12" s="6" t="inlineStr">
        <x:is>
          <x:t xml:space="preserve">Bäckerei Springer (Kira)</x:t>
        </x:is>
      </x:c>
      <x:c r="C12" s="8" t="inlineStr">
        <x:is>
          <x:t xml:space="preserve">PartTime</x:t>
        </x:is>
      </x:c>
      <x:c r="D12" s="8" t="n">
        <x:v>22</x:v>
      </x:c>
      <x:c r="E12" s="8" t="n">
        <x:v>8</x:v>
      </x:c>
      <x:c r="F12" s="8" t="n">
        <x:v>1</x:v>
      </x:c>
      <x:c r="G12" s="8" t="inlineStr">
        <x:is>
          <x:t xml:space="preserve">Flexible</x:t>
        </x:is>
      </x:c>
      <x:c r="H12" s="8" t="n">
        <x:v>0</x:v>
      </x:c>
      <x:c r="I12" s="8" t="n">
        <x:v>0</x:v>
      </x:c>
      <x:c r="J12" s="8" t="n">
        <x:v>0</x:v>
      </x:c>
      <x:c r="K12" s="8" t="n">
        <x:v>1</x:v>
      </x:c>
      <x:c r="L12" s="8" t="n">
        <x:v>1</x:v>
      </x:c>
      <x:c r="M12" s="10" t="n">
        <x:v>0.1666666666666667</x:v>
      </x:c>
      <x:c r="N12" s="10" t="n">
        <x:v>0.5</x:v>
      </x:c>
      <x:c r="O12" s="10" t="n">
        <x:v>0.1666666666666667</x:v>
      </x:c>
      <x:c r="P12" s="10" t="n">
        <x:v>0.5</x:v>
      </x:c>
      <x:c r="Q12" s="10" t="n">
        <x:v>0.1666666666666667</x:v>
      </x:c>
      <x:c r="R12" s="10" t="n">
        <x:v>0.5</x:v>
      </x:c>
      <x:c r="S12" s="10" t="n">
        <x:v>0.1666666666666667</x:v>
      </x:c>
      <x:c r="T12" s="10" t="n">
        <x:v>0.5</x:v>
      </x:c>
      <x:c r="U12" s="10" t="n">
        <x:v>0.1666666666666667</x:v>
      </x:c>
      <x:c r="V12" s="10" t="n">
        <x:v>0.5</x:v>
      </x:c>
      <x:c r="W12" s="10" t="n">
        <x:v>0.25</x:v>
      </x:c>
      <x:c r="X12" s="10" t="n">
        <x:v>0.5833333333333334</x:v>
      </x:c>
      <x:c r="Y12" s="10" t="n">
        <x:v>0.2916666666666667</x:v>
      </x:c>
      <x:c r="Z12" s="10" t="n">
        <x:v>0.5</x:v>
      </x:c>
      <x:c r="AA12" s="9" t="n">
        <x:v>16.5</x:v>
      </x:c>
      <x:c r="AB12" s="8" t="inlineStr">
        <x:is>
          <x:t xml:space="preserve">Kann kurzfristig einspringen, flexible Zeiten</x:t>
        </x:is>
      </x:c>
      <x:c r="AC12" s="11">
        <x:f>D12*4.33</x:f>
        <x:v>95.26</x:v>
      </x:c>
      <x:c r="AD12" s="12">
        <x:f>AC12*AA12</x:f>
        <x:v>1571.7900000000002</x:v>
      </x:c>
      <x:c r="AE12" s="13">
        <x:f>IF(AND(C12="Minijob",AD12&gt;PARAMS!$B$6),"YES","")</x:f>
      </x:c>
    </x:row>
    <x:row r="13">
      <x:c r="A13" s="6" t="inlineStr">
        <x:is>
          <x:t xml:space="preserve">E012</x:t>
        </x:is>
      </x:c>
      <x:c r="B13" s="6" t="inlineStr">
        <x:is>
          <x:t xml:space="preserve">Bäckerei (Minijob, Paul)</x:t>
        </x:is>
      </x:c>
      <x:c r="C13" s="8" t="inlineStr">
        <x:is>
          <x:t xml:space="preserve">Minijob</x:t>
        </x:is>
      </x:c>
      <x:c r="D13" s="8" t="n">
        <x:v>8</x:v>
      </x:c>
      <x:c r="E13" s="8" t="n">
        <x:v>6</x:v>
      </x:c>
      <x:c r="F13" s="8" t="n">
        <x:v>1</x:v>
      </x:c>
      <x:c r="G13" s="8" t="inlineStr">
        <x:is>
          <x:t xml:space="preserve">WeekendMorning</x:t>
        </x:is>
      </x:c>
      <x:c r="H13" s="8" t="n">
        <x:v>0</x:v>
      </x:c>
      <x:c r="I13" s="8" t="n">
        <x:v>0</x:v>
      </x:c>
      <x:c r="J13" s="8" t="n">
        <x:v>0</x:v>
      </x:c>
      <x:c r="K13" s="8" t="n">
        <x:v>1</x:v>
      </x:c>
      <x:c r="L13" s="8" t="n">
        <x:v>1</x:v>
      </x:c>
      <x:c r="M13" s="8" t="n"/>
      <x:c r="N13" s="8" t="n"/>
      <x:c r="O13" s="8" t="n"/>
      <x:c r="P13" s="8" t="n"/>
      <x:c r="Q13" s="10" t="n">
        <x:v>0.2083333333333333</x:v>
      </x:c>
      <x:c r="R13" s="10" t="n">
        <x:v>0.4583333333333333</x:v>
      </x:c>
      <x:c r="S13" s="8" t="n"/>
      <x:c r="T13" s="8" t="n"/>
      <x:c r="U13" s="8" t="n"/>
      <x:c r="V13" s="8" t="n"/>
      <x:c r="W13" s="10" t="n">
        <x:v>0.25</x:v>
      </x:c>
      <x:c r="X13" s="10" t="n">
        <x:v>0.5</x:v>
      </x:c>
      <x:c r="Y13" s="10" t="n">
        <x:v>0.2916666666666667</x:v>
      </x:c>
      <x:c r="Z13" s="10" t="n">
        <x:v>0.5</x:v>
      </x:c>
      <x:c r="AA13" s="9" t="n">
        <x:v>14.5</x:v>
      </x:c>
      <x:c r="AB13" s="8" t="inlineStr">
        <x:is>
          <x:t xml:space="preserve">Hauptsächlich Sa/So Produktion + Aufback</x:t>
        </x:is>
      </x:c>
      <x:c r="AC13" s="11">
        <x:f>D13*4.33</x:f>
        <x:v>34.64</x:v>
      </x:c>
      <x:c r="AD13" s="12">
        <x:f>AC13*AA13</x:f>
        <x:v>502.28000000000003</x:v>
      </x:c>
      <x:c r="AE13" s="13" t="str">
        <x:f>IF(AND(C13="Minijob",AD13&gt;PARAMS!$B$6),"YES","")</x:f>
        <x:v>YES</x:v>
      </x:c>
    </x:row>
    <x:row r="14">
      <x:c r="A14" s="6" t="inlineStr">
        <x:is>
          <x:t xml:space="preserve">E013</x:t>
        </x:is>
      </x:c>
      <x:c r="B14" s="6" t="inlineStr">
        <x:is>
          <x:t xml:space="preserve">Backstube (Azubi, Lina)</x:t>
        </x:is>
      </x:c>
      <x:c r="C14" s="8" t="inlineStr">
        <x:is>
          <x:t xml:space="preserve">Apprentice</x:t>
        </x:is>
      </x:c>
      <x:c r="D14" s="8" t="n">
        <x:v>35</x:v>
      </x:c>
      <x:c r="E14" s="8" t="n">
        <x:v>8</x:v>
      </x:c>
      <x:c r="F14" s="8" t="n">
        <x:v>0</x:v>
      </x:c>
      <x:c r="G14" s="8" t="inlineStr">
        <x:is>
          <x:t xml:space="preserve">Morning</x:t>
        </x:is>
      </x:c>
      <x:c r="H14" s="8" t="n">
        <x:v>0</x:v>
      </x:c>
      <x:c r="I14" s="8" t="n">
        <x:v>0</x:v>
      </x:c>
      <x:c r="J14" s="8" t="n">
        <x:v>0</x:v>
      </x:c>
      <x:c r="K14" s="8" t="n">
        <x:v>1</x:v>
      </x:c>
      <x:c r="L14" s="8" t="n">
        <x:v>0</x:v>
      </x:c>
      <x:c r="M14" s="10" t="n">
        <x:v>0.2083333333333333</x:v>
      </x:c>
      <x:c r="N14" s="10" t="n">
        <x:v>0.5416666666666666</x:v>
      </x:c>
      <x:c r="O14" s="8" t="n"/>
      <x:c r="P14" s="8" t="n"/>
      <x:c r="Q14" s="10" t="n">
        <x:v>0.2083333333333333</x:v>
      </x:c>
      <x:c r="R14" s="10" t="n">
        <x:v>0.5416666666666666</x:v>
      </x:c>
      <x:c r="S14" s="10" t="n">
        <x:v>0.2083333333333333</x:v>
      </x:c>
      <x:c r="T14" s="10" t="n">
        <x:v>0.5416666666666666</x:v>
      </x:c>
      <x:c r="U14" s="10" t="n">
        <x:v>0.2083333333333333</x:v>
      </x:c>
      <x:c r="V14" s="10" t="n">
        <x:v>0.5416666666666666</x:v>
      </x:c>
      <x:c r="W14" s="10" t="n">
        <x:v>0.25</x:v>
      </x:c>
      <x:c r="X14" s="10" t="n">
        <x:v>0.5</x:v>
      </x:c>
      <x:c r="Y14" s="8" t="n"/>
      <x:c r="Z14" s="8" t="n"/>
      <x:c r="AA14" s="9" t="n">
        <x:v>12.5</x:v>
      </x:c>
      <x:c r="AB14" s="8" t="inlineStr">
        <x:is>
          <x:t xml:space="preserve">Di Berufsschule (nicht verfügbar)</x:t>
        </x:is>
      </x:c>
      <x:c r="AC14" s="11">
        <x:f>D14*4.33</x:f>
        <x:v>151.55</x:v>
      </x:c>
      <x:c r="AD14" s="12">
        <x:f>AC14*AA14</x:f>
        <x:v>1894.3750000000002</x:v>
      </x:c>
      <x:c r="AE14" s="13">
        <x:f>IF(AND(C14="Minijob",AD14&gt;PARAMS!$B$6),"YES","")</x:f>
      </x:c>
    </x:row>
    <x:row r="15">
      <x:c r="A15" s="6" t="inlineStr">
        <x:is>
          <x:t xml:space="preserve">E014</x:t>
        </x:is>
      </x:c>
      <x:c r="B15" s="6" t="inlineStr">
        <x:is>
          <x:t xml:space="preserve">Allround (Kasse+Back)</x:t>
        </x:is>
      </x:c>
      <x:c r="C15" s="8" t="inlineStr">
        <x:is>
          <x:t xml:space="preserve">PartTime</x:t>
        </x:is>
      </x:c>
      <x:c r="D15" s="8" t="n">
        <x:v>24</x:v>
      </x:c>
      <x:c r="E15" s="8" t="n">
        <x:v>8</x:v>
      </x:c>
      <x:c r="F15" s="8" t="n">
        <x:v>1</x:v>
      </x:c>
      <x:c r="G15" s="8" t="inlineStr">
        <x:is>
          <x:t xml:space="preserve">Early+Mid</x:t>
        </x:is>
      </x:c>
      <x:c r="H15" s="8" t="n">
        <x:v>0</x:v>
      </x:c>
      <x:c r="I15" s="8" t="n">
        <x:v>1</x:v>
      </x:c>
      <x:c r="J15" s="8" t="n">
        <x:v>0</x:v>
      </x:c>
      <x:c r="K15" s="8" t="n">
        <x:v>1</x:v>
      </x:c>
      <x:c r="L15" s="8" t="n">
        <x:v>1</x:v>
      </x:c>
      <x:c r="M15" s="10" t="n">
        <x:v>0.2291666666666667</x:v>
      </x:c>
      <x:c r="N15" s="10" t="n">
        <x:v>0.5625</x:v>
      </x:c>
      <x:c r="O15" s="10" t="n">
        <x:v>0.2291666666666667</x:v>
      </x:c>
      <x:c r="P15" s="10" t="n">
        <x:v>0.5625</x:v>
      </x:c>
      <x:c r="Q15" s="10" t="n">
        <x:v>0.2291666666666667</x:v>
      </x:c>
      <x:c r="R15" s="10" t="n">
        <x:v>0.5625</x:v>
      </x:c>
      <x:c r="S15" s="10" t="n">
        <x:v>0.2291666666666667</x:v>
      </x:c>
      <x:c r="T15" s="10" t="n">
        <x:v>0.5625</x:v>
      </x:c>
      <x:c r="U15" s="10" t="n">
        <x:v>0.2291666666666667</x:v>
      </x:c>
      <x:c r="V15" s="10" t="n">
        <x:v>0.5625</x:v>
      </x:c>
      <x:c r="W15" s="10" t="n">
        <x:v>0.25</x:v>
      </x:c>
      <x:c r="X15" s="10" t="n">
        <x:v>0.5833333333333334</x:v>
      </x:c>
      <x:c r="Y15" s="10" t="n">
        <x:v>0.2916666666666667</x:v>
      </x:c>
      <x:c r="Z15" s="10" t="n">
        <x:v>0.5</x:v>
      </x:c>
      <x:c r="AA15" s="9" t="n">
        <x:v>17.5</x:v>
      </x:c>
      <x:c r="AB15" s="8" t="inlineStr">
        <x:is>
          <x:t xml:space="preserve">Kann in ruhigen Zeiten in Backstube unterstützen</x:t>
        </x:is>
      </x:c>
      <x:c r="AC15" s="11">
        <x:f>D15*4.33</x:f>
        <x:v>103.92</x:v>
      </x:c>
      <x:c r="AD15" s="12">
        <x:f>AC15*AA15</x:f>
        <x:v>1818.6000000000001</x:v>
      </x:c>
      <x:c r="AE15" s="13">
        <x:f>IF(AND(C15="Minijob",AD15&gt;PARAMS!$B$6),"YES","")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10" customWidth="1"/>
    <x:col min="3" max="3" width="10" customWidth="1"/>
    <x:col min="4" max="4" width="22" customWidth="1"/>
    <x:col min="5" max="5" width="10" customWidth="1"/>
    <x:col min="6" max="6" width="10" customWidth="1"/>
    <x:col min="7" max="7" width="18" customWidth="1"/>
    <x:col min="8" max="8" width="10" customWidth="1"/>
    <x:col min="9" max="9" width="52" customWidth="1"/>
  </x:cols>
  <x:sheetData>
    <x:row r="1">
      <x:c r="A1" s="5" t="inlineStr">
        <x:is>
          <x:t xml:space="preserve">ShiftTemplateID</x:t>
        </x:is>
      </x:c>
      <x:c r="B1" s="5" t="inlineStr">
        <x:is>
          <x:t xml:space="preserve">DayOfWeek</x:t>
        </x:is>
      </x:c>
      <x:c r="C1" s="5" t="inlineStr">
        <x:is>
          <x:t xml:space="preserve">Department</x:t>
        </x:is>
      </x:c>
      <x:c r="D1" s="5" t="inlineStr">
        <x:is>
          <x:t xml:space="preserve">Position</x:t>
        </x:is>
      </x:c>
      <x:c r="E1" s="5" t="inlineStr">
        <x:is>
          <x:t xml:space="preserve">StartTime</x:t>
        </x:is>
      </x:c>
      <x:c r="F1" s="5" t="inlineStr">
        <x:is>
          <x:t xml:space="preserve">EndTime</x:t>
        </x:is>
      </x:c>
      <x:c r="G1" s="5" t="inlineStr">
        <x:is>
          <x:t xml:space="preserve">RequiredHeadcount</x:t>
        </x:is>
      </x:c>
      <x:c r="H1" s="5" t="inlineStr">
        <x:is>
          <x:t xml:space="preserve">ShiftHours</x:t>
        </x:is>
      </x:c>
      <x:c r="I1" s="5" t="inlineStr">
        <x:is>
          <x:t xml:space="preserve">Notes</x:t>
        </x:is>
      </x:c>
    </x:row>
    <x:row r="2">
      <x:c r="A2" s="8" t="inlineStr">
        <x:is>
          <x:t xml:space="preserve">BACK_NIGHT_Mon</x:t>
        </x:is>
      </x:c>
      <x:c r="B2" s="8" t="inlineStr">
        <x:is>
          <x:t xml:space="preserve">Mon</x:t>
        </x:is>
      </x:c>
      <x:c r="C2" s="8" t="inlineStr">
        <x:is>
          <x:t xml:space="preserve">BACK</x:t>
        </x:is>
      </x:c>
      <x:c r="D2" s="8" t="inlineStr">
        <x:is>
          <x:t xml:space="preserve">Backmeister</x:t>
        </x:is>
      </x:c>
      <x:c r="E2" s="10" t="n">
        <x:v>0.08333333333333333</x:v>
      </x:c>
      <x:c r="F2" s="10" t="n">
        <x:v>0.4166666666666667</x:v>
      </x:c>
      <x:c r="G2" s="14" t="n">
        <x:v>1</x:v>
      </x:c>
      <x:c r="H2" s="15">
        <x:f>IF(F2&lt;E2,(F2+1-E2)*24,(F2-E2)*24)</x:f>
        <x:v>8</x:v>
      </x:c>
      <x:c r="I2" s="8" t="inlineStr">
        <x:is>
          <x:t xml:space="preserve">Leitung/Qualität, Mentor</x:t>
        </x:is>
      </x:c>
    </x:row>
    <x:row r="3">
      <x:c r="A3" s="8" t="inlineStr">
        <x:is>
          <x:t xml:space="preserve">BACK_NIGHT2_Mon</x:t>
        </x:is>
      </x:c>
      <x:c r="B3" s="8" t="inlineStr">
        <x:is>
          <x:t xml:space="preserve">Mon</x:t>
        </x:is>
      </x:c>
      <x:c r="C3" s="8" t="inlineStr">
        <x:is>
          <x:t xml:space="preserve">BACK</x:t>
        </x:is>
      </x:c>
      <x:c r="D3" s="8" t="inlineStr">
        <x:is>
          <x:t xml:space="preserve">Baeckerei</x:t>
        </x:is>
      </x:c>
      <x:c r="E3" s="10" t="n">
        <x:v>0.08333333333333333</x:v>
      </x:c>
      <x:c r="F3" s="10" t="n">
        <x:v>0.4166666666666667</x:v>
      </x:c>
      <x:c r="G3" s="14" t="n">
        <x:v>1</x:v>
      </x:c>
      <x:c r="H3" s="15">
        <x:f>IF(F3&lt;E3,(F3+1-E3)*24,(F3-E3)*24)</x:f>
        <x:v>8</x:v>
      </x:c>
      <x:c r="I3" s="8" t="inlineStr">
        <x:is>
          <x:t xml:space="preserve">Produktion Kernsortiment</x:t>
        </x:is>
      </x:c>
    </x:row>
    <x:row r="4">
      <x:c r="A4" s="8" t="inlineStr">
        <x:is>
          <x:t xml:space="preserve">BACK_MORN_Mon</x:t>
        </x:is>
      </x:c>
      <x:c r="B4" s="8" t="inlineStr">
        <x:is>
          <x:t xml:space="preserve">Mon</x:t>
        </x:is>
      </x:c>
      <x:c r="C4" s="8" t="inlineStr">
        <x:is>
          <x:t xml:space="preserve">BACK</x:t>
        </x:is>
      </x:c>
      <x:c r="D4" s="8" t="inlineStr">
        <x:is>
          <x:t xml:space="preserve">Baeckerei</x:t>
        </x:is>
      </x:c>
      <x:c r="E4" s="10" t="n">
        <x:v>0.2083333333333333</x:v>
      </x:c>
      <x:c r="F4" s="10" t="n">
        <x:v>0.5416666666666666</x:v>
      </x:c>
      <x:c r="G4" s="14" t="n">
        <x:v>2</x:v>
      </x:c>
      <x:c r="H4" s="15">
        <x:f>IF(F4&lt;E4,(F4+1-E4)*24,(F4-E4)*24)</x:f>
        <x:v>8</x:v>
      </x:c>
      <x:c r="I4" s="8" t="inlineStr">
        <x:is>
          <x:t xml:space="preserve">Nachproduktion, Aufback, Kommissionierung</x:t>
        </x:is>
      </x:c>
    </x:row>
    <x:row r="5">
      <x:c r="A5" s="8" t="inlineStr">
        <x:is>
          <x:t xml:space="preserve">BACK_SUPPORT_Mon</x:t>
        </x:is>
      </x:c>
      <x:c r="B5" s="8" t="inlineStr">
        <x:is>
          <x:t xml:space="preserve">Mon</x:t>
        </x:is>
      </x:c>
      <x:c r="C5" s="8" t="inlineStr">
        <x:is>
          <x:t xml:space="preserve">BACK</x:t>
        </x:is>
      </x:c>
      <x:c r="D5" s="8" t="inlineStr">
        <x:is>
          <x:t xml:space="preserve">Baeckerei_Springer</x:t>
        </x:is>
      </x:c>
      <x:c r="E5" s="10" t="n">
        <x:v>0.375</x:v>
      </x:c>
      <x:c r="F5" s="10" t="n">
        <x:v>0.625</x:v>
      </x:c>
      <x:c r="G5" s="14" t="n">
        <x:v>1</x:v>
      </x:c>
      <x:c r="H5" s="15">
        <x:f>IF(F5&lt;E5,(F5+1-E5)*24,(F5-E5)*24)</x:f>
        <x:v>6</x:v>
      </x:c>
      <x:c r="I5" s="8" t="inlineStr">
        <x:is>
          <x:t xml:space="preserve">Springer: Abwiegen, Spülen, Kommission, Aushelfen</x:t>
        </x:is>
      </x:c>
    </x:row>
    <x:row r="6">
      <x:c r="A6" s="8" t="inlineStr">
        <x:is>
          <x:t xml:space="preserve">BACK_NIGHT_Tue</x:t>
        </x:is>
      </x:c>
      <x:c r="B6" s="8" t="inlineStr">
        <x:is>
          <x:t xml:space="preserve">Tue</x:t>
        </x:is>
      </x:c>
      <x:c r="C6" s="8" t="inlineStr">
        <x:is>
          <x:t xml:space="preserve">BACK</x:t>
        </x:is>
      </x:c>
      <x:c r="D6" s="8" t="inlineStr">
        <x:is>
          <x:t xml:space="preserve">Backmeister</x:t>
        </x:is>
      </x:c>
      <x:c r="E6" s="10" t="n">
        <x:v>0.08333333333333333</x:v>
      </x:c>
      <x:c r="F6" s="10" t="n">
        <x:v>0.4166666666666667</x:v>
      </x:c>
      <x:c r="G6" s="14" t="n">
        <x:v>1</x:v>
      </x:c>
      <x:c r="H6" s="15">
        <x:f>IF(F6&lt;E6,(F6+1-E6)*24,(F6-E6)*24)</x:f>
        <x:v>8</x:v>
      </x:c>
      <x:c r="I6" s="8" t="inlineStr">
        <x:is>
          <x:t xml:space="preserve">Leitung/Qualität, Mentor</x:t>
        </x:is>
      </x:c>
    </x:row>
    <x:row r="7">
      <x:c r="A7" s="8" t="inlineStr">
        <x:is>
          <x:t xml:space="preserve">BACK_NIGHT2_Tue</x:t>
        </x:is>
      </x:c>
      <x:c r="B7" s="8" t="inlineStr">
        <x:is>
          <x:t xml:space="preserve">Tue</x:t>
        </x:is>
      </x:c>
      <x:c r="C7" s="8" t="inlineStr">
        <x:is>
          <x:t xml:space="preserve">BACK</x:t>
        </x:is>
      </x:c>
      <x:c r="D7" s="8" t="inlineStr">
        <x:is>
          <x:t xml:space="preserve">Baeckerei</x:t>
        </x:is>
      </x:c>
      <x:c r="E7" s="10" t="n">
        <x:v>0.08333333333333333</x:v>
      </x:c>
      <x:c r="F7" s="10" t="n">
        <x:v>0.4166666666666667</x:v>
      </x:c>
      <x:c r="G7" s="14" t="n">
        <x:v>1</x:v>
      </x:c>
      <x:c r="H7" s="15">
        <x:f>IF(F7&lt;E7,(F7+1-E7)*24,(F7-E7)*24)</x:f>
        <x:v>8</x:v>
      </x:c>
      <x:c r="I7" s="8" t="inlineStr">
        <x:is>
          <x:t xml:space="preserve">Produktion Kernsortiment</x:t>
        </x:is>
      </x:c>
    </x:row>
    <x:row r="8">
      <x:c r="A8" s="8" t="inlineStr">
        <x:is>
          <x:t xml:space="preserve">BACK_MORN_Tue</x:t>
        </x:is>
      </x:c>
      <x:c r="B8" s="8" t="inlineStr">
        <x:is>
          <x:t xml:space="preserve">Tue</x:t>
        </x:is>
      </x:c>
      <x:c r="C8" s="8" t="inlineStr">
        <x:is>
          <x:t xml:space="preserve">BACK</x:t>
        </x:is>
      </x:c>
      <x:c r="D8" s="8" t="inlineStr">
        <x:is>
          <x:t xml:space="preserve">Baeckerei</x:t>
        </x:is>
      </x:c>
      <x:c r="E8" s="10" t="n">
        <x:v>0.2083333333333333</x:v>
      </x:c>
      <x:c r="F8" s="10" t="n">
        <x:v>0.5416666666666666</x:v>
      </x:c>
      <x:c r="G8" s="14" t="n">
        <x:v>2</x:v>
      </x:c>
      <x:c r="H8" s="15">
        <x:f>IF(F8&lt;E8,(F8+1-E8)*24,(F8-E8)*24)</x:f>
        <x:v>8</x:v>
      </x:c>
      <x:c r="I8" s="8" t="inlineStr">
        <x:is>
          <x:t xml:space="preserve">Nachproduktion, Aufback, Kommissionierung</x:t>
        </x:is>
      </x:c>
    </x:row>
    <x:row r="9">
      <x:c r="A9" s="8" t="inlineStr">
        <x:is>
          <x:t xml:space="preserve">BACK_SUPPORT_Tue</x:t>
        </x:is>
      </x:c>
      <x:c r="B9" s="8" t="inlineStr">
        <x:is>
          <x:t xml:space="preserve">Tue</x:t>
        </x:is>
      </x:c>
      <x:c r="C9" s="8" t="inlineStr">
        <x:is>
          <x:t xml:space="preserve">BACK</x:t>
        </x:is>
      </x:c>
      <x:c r="D9" s="8" t="inlineStr">
        <x:is>
          <x:t xml:space="preserve">Baeckerei_Springer</x:t>
        </x:is>
      </x:c>
      <x:c r="E9" s="10" t="n">
        <x:v>0.375</x:v>
      </x:c>
      <x:c r="F9" s="10" t="n">
        <x:v>0.625</x:v>
      </x:c>
      <x:c r="G9" s="14" t="n">
        <x:v>1</x:v>
      </x:c>
      <x:c r="H9" s="15">
        <x:f>IF(F9&lt;E9,(F9+1-E9)*24,(F9-E9)*24)</x:f>
        <x:v>6</x:v>
      </x:c>
      <x:c r="I9" s="8" t="inlineStr">
        <x:is>
          <x:t xml:space="preserve">Springer: Abwiegen, Spülen, Kommission, Aushelfen</x:t>
        </x:is>
      </x:c>
    </x:row>
    <x:row r="10">
      <x:c r="A10" s="8" t="inlineStr">
        <x:is>
          <x:t xml:space="preserve">BACK_NIGHT_Wed</x:t>
        </x:is>
      </x:c>
      <x:c r="B10" s="8" t="inlineStr">
        <x:is>
          <x:t xml:space="preserve">Wed</x:t>
        </x:is>
      </x:c>
      <x:c r="C10" s="8" t="inlineStr">
        <x:is>
          <x:t xml:space="preserve">BACK</x:t>
        </x:is>
      </x:c>
      <x:c r="D10" s="8" t="inlineStr">
        <x:is>
          <x:t xml:space="preserve">Backmeister</x:t>
        </x:is>
      </x:c>
      <x:c r="E10" s="10" t="n">
        <x:v>0.08333333333333333</x:v>
      </x:c>
      <x:c r="F10" s="10" t="n">
        <x:v>0.4166666666666667</x:v>
      </x:c>
      <x:c r="G10" s="14" t="n">
        <x:v>1</x:v>
      </x:c>
      <x:c r="H10" s="15">
        <x:f>IF(F10&lt;E10,(F10+1-E10)*24,(F10-E10)*24)</x:f>
        <x:v>8</x:v>
      </x:c>
      <x:c r="I10" s="8" t="inlineStr">
        <x:is>
          <x:t xml:space="preserve">Leitung/Qualität, Mentor</x:t>
        </x:is>
      </x:c>
    </x:row>
    <x:row r="11">
      <x:c r="A11" s="8" t="inlineStr">
        <x:is>
          <x:t xml:space="preserve">BACK_NIGHT2_Wed</x:t>
        </x:is>
      </x:c>
      <x:c r="B11" s="8" t="inlineStr">
        <x:is>
          <x:t xml:space="preserve">Wed</x:t>
        </x:is>
      </x:c>
      <x:c r="C11" s="8" t="inlineStr">
        <x:is>
          <x:t xml:space="preserve">BACK</x:t>
        </x:is>
      </x:c>
      <x:c r="D11" s="8" t="inlineStr">
        <x:is>
          <x:t xml:space="preserve">Baeckerei</x:t>
        </x:is>
      </x:c>
      <x:c r="E11" s="10" t="n">
        <x:v>0.08333333333333333</x:v>
      </x:c>
      <x:c r="F11" s="10" t="n">
        <x:v>0.4166666666666667</x:v>
      </x:c>
      <x:c r="G11" s="14" t="n">
        <x:v>1</x:v>
      </x:c>
      <x:c r="H11" s="15">
        <x:f>IF(F11&lt;E11,(F11+1-E11)*24,(F11-E11)*24)</x:f>
        <x:v>8</x:v>
      </x:c>
      <x:c r="I11" s="8" t="inlineStr">
        <x:is>
          <x:t xml:space="preserve">Produktion Kernsortiment</x:t>
        </x:is>
      </x:c>
    </x:row>
    <x:row r="12">
      <x:c r="A12" s="8" t="inlineStr">
        <x:is>
          <x:t xml:space="preserve">BACK_MORN_Wed</x:t>
        </x:is>
      </x:c>
      <x:c r="B12" s="8" t="inlineStr">
        <x:is>
          <x:t xml:space="preserve">Wed</x:t>
        </x:is>
      </x:c>
      <x:c r="C12" s="8" t="inlineStr">
        <x:is>
          <x:t xml:space="preserve">BACK</x:t>
        </x:is>
      </x:c>
      <x:c r="D12" s="8" t="inlineStr">
        <x:is>
          <x:t xml:space="preserve">Baeckerei</x:t>
        </x:is>
      </x:c>
      <x:c r="E12" s="10" t="n">
        <x:v>0.2083333333333333</x:v>
      </x:c>
      <x:c r="F12" s="10" t="n">
        <x:v>0.5416666666666666</x:v>
      </x:c>
      <x:c r="G12" s="14" t="n">
        <x:v>2</x:v>
      </x:c>
      <x:c r="H12" s="15">
        <x:f>IF(F12&lt;E12,(F12+1-E12)*24,(F12-E12)*24)</x:f>
        <x:v>8</x:v>
      </x:c>
      <x:c r="I12" s="8" t="inlineStr">
        <x:is>
          <x:t xml:space="preserve">Nachproduktion, Aufback, Kommissionierung</x:t>
        </x:is>
      </x:c>
    </x:row>
    <x:row r="13">
      <x:c r="A13" s="8" t="inlineStr">
        <x:is>
          <x:t xml:space="preserve">BACK_SUPPORT_Wed</x:t>
        </x:is>
      </x:c>
      <x:c r="B13" s="8" t="inlineStr">
        <x:is>
          <x:t xml:space="preserve">Wed</x:t>
        </x:is>
      </x:c>
      <x:c r="C13" s="8" t="inlineStr">
        <x:is>
          <x:t xml:space="preserve">BACK</x:t>
        </x:is>
      </x:c>
      <x:c r="D13" s="8" t="inlineStr">
        <x:is>
          <x:t xml:space="preserve">Baeckerei_Springer</x:t>
        </x:is>
      </x:c>
      <x:c r="E13" s="10" t="n">
        <x:v>0.375</x:v>
      </x:c>
      <x:c r="F13" s="10" t="n">
        <x:v>0.625</x:v>
      </x:c>
      <x:c r="G13" s="14" t="n">
        <x:v>1</x:v>
      </x:c>
      <x:c r="H13" s="15">
        <x:f>IF(F13&lt;E13,(F13+1-E13)*24,(F13-E13)*24)</x:f>
        <x:v>6</x:v>
      </x:c>
      <x:c r="I13" s="8" t="inlineStr">
        <x:is>
          <x:t xml:space="preserve">Springer: Abwiegen, Spülen, Kommission, Aushelfen</x:t>
        </x:is>
      </x:c>
    </x:row>
    <x:row r="14">
      <x:c r="A14" s="8" t="inlineStr">
        <x:is>
          <x:t xml:space="preserve">BACK_NIGHT_Thu</x:t>
        </x:is>
      </x:c>
      <x:c r="B14" s="8" t="inlineStr">
        <x:is>
          <x:t xml:space="preserve">Thu</x:t>
        </x:is>
      </x:c>
      <x:c r="C14" s="8" t="inlineStr">
        <x:is>
          <x:t xml:space="preserve">BACK</x:t>
        </x:is>
      </x:c>
      <x:c r="D14" s="8" t="inlineStr">
        <x:is>
          <x:t xml:space="preserve">Backmeister</x:t>
        </x:is>
      </x:c>
      <x:c r="E14" s="10" t="n">
        <x:v>0.08333333333333333</x:v>
      </x:c>
      <x:c r="F14" s="10" t="n">
        <x:v>0.4166666666666667</x:v>
      </x:c>
      <x:c r="G14" s="14" t="n">
        <x:v>1</x:v>
      </x:c>
      <x:c r="H14" s="15">
        <x:f>IF(F14&lt;E14,(F14+1-E14)*24,(F14-E14)*24)</x:f>
        <x:v>8</x:v>
      </x:c>
      <x:c r="I14" s="8" t="inlineStr">
        <x:is>
          <x:t xml:space="preserve">Leitung/Qualität, Mentor</x:t>
        </x:is>
      </x:c>
    </x:row>
    <x:row r="15">
      <x:c r="A15" s="8" t="inlineStr">
        <x:is>
          <x:t xml:space="preserve">BACK_NIGHT2_Thu</x:t>
        </x:is>
      </x:c>
      <x:c r="B15" s="8" t="inlineStr">
        <x:is>
          <x:t xml:space="preserve">Thu</x:t>
        </x:is>
      </x:c>
      <x:c r="C15" s="8" t="inlineStr">
        <x:is>
          <x:t xml:space="preserve">BACK</x:t>
        </x:is>
      </x:c>
      <x:c r="D15" s="8" t="inlineStr">
        <x:is>
          <x:t xml:space="preserve">Baeckerei</x:t>
        </x:is>
      </x:c>
      <x:c r="E15" s="10" t="n">
        <x:v>0.08333333333333333</x:v>
      </x:c>
      <x:c r="F15" s="10" t="n">
        <x:v>0.4166666666666667</x:v>
      </x:c>
      <x:c r="G15" s="14" t="n">
        <x:v>1</x:v>
      </x:c>
      <x:c r="H15" s="15">
        <x:f>IF(F15&lt;E15,(F15+1-E15)*24,(F15-E15)*24)</x:f>
        <x:v>8</x:v>
      </x:c>
      <x:c r="I15" s="8" t="inlineStr">
        <x:is>
          <x:t xml:space="preserve">Produktion Kernsortiment</x:t>
        </x:is>
      </x:c>
    </x:row>
    <x:row r="16">
      <x:c r="A16" s="8" t="inlineStr">
        <x:is>
          <x:t xml:space="preserve">BACK_MORN_Thu</x:t>
        </x:is>
      </x:c>
      <x:c r="B16" s="8" t="inlineStr">
        <x:is>
          <x:t xml:space="preserve">Thu</x:t>
        </x:is>
      </x:c>
      <x:c r="C16" s="8" t="inlineStr">
        <x:is>
          <x:t xml:space="preserve">BACK</x:t>
        </x:is>
      </x:c>
      <x:c r="D16" s="8" t="inlineStr">
        <x:is>
          <x:t xml:space="preserve">Baeckerei</x:t>
        </x:is>
      </x:c>
      <x:c r="E16" s="10" t="n">
        <x:v>0.2083333333333333</x:v>
      </x:c>
      <x:c r="F16" s="10" t="n">
        <x:v>0.5416666666666666</x:v>
      </x:c>
      <x:c r="G16" s="14" t="n">
        <x:v>2</x:v>
      </x:c>
      <x:c r="H16" s="15">
        <x:f>IF(F16&lt;E16,(F16+1-E16)*24,(F16-E16)*24)</x:f>
        <x:v>8</x:v>
      </x:c>
      <x:c r="I16" s="8" t="inlineStr">
        <x:is>
          <x:t xml:space="preserve">Nachproduktion, Aufback, Kommissionierung</x:t>
        </x:is>
      </x:c>
    </x:row>
    <x:row r="17">
      <x:c r="A17" s="8" t="inlineStr">
        <x:is>
          <x:t xml:space="preserve">BACK_SUPPORT_Thu</x:t>
        </x:is>
      </x:c>
      <x:c r="B17" s="8" t="inlineStr">
        <x:is>
          <x:t xml:space="preserve">Thu</x:t>
        </x:is>
      </x:c>
      <x:c r="C17" s="8" t="inlineStr">
        <x:is>
          <x:t xml:space="preserve">BACK</x:t>
        </x:is>
      </x:c>
      <x:c r="D17" s="8" t="inlineStr">
        <x:is>
          <x:t xml:space="preserve">Baeckerei_Springer</x:t>
        </x:is>
      </x:c>
      <x:c r="E17" s="10" t="n">
        <x:v>0.375</x:v>
      </x:c>
      <x:c r="F17" s="10" t="n">
        <x:v>0.625</x:v>
      </x:c>
      <x:c r="G17" s="14" t="n">
        <x:v>1</x:v>
      </x:c>
      <x:c r="H17" s="15">
        <x:f>IF(F17&lt;E17,(F17+1-E17)*24,(F17-E17)*24)</x:f>
        <x:v>6</x:v>
      </x:c>
      <x:c r="I17" s="8" t="inlineStr">
        <x:is>
          <x:t xml:space="preserve">Springer: Abwiegen, Spülen, Kommission, Aushelfen</x:t>
        </x:is>
      </x:c>
    </x:row>
    <x:row r="18">
      <x:c r="A18" s="8" t="inlineStr">
        <x:is>
          <x:t xml:space="preserve">BACK_NIGHT_Fri</x:t>
        </x:is>
      </x:c>
      <x:c r="B18" s="8" t="inlineStr">
        <x:is>
          <x:t xml:space="preserve">Fri</x:t>
        </x:is>
      </x:c>
      <x:c r="C18" s="8" t="inlineStr">
        <x:is>
          <x:t xml:space="preserve">BACK</x:t>
        </x:is>
      </x:c>
      <x:c r="D18" s="8" t="inlineStr">
        <x:is>
          <x:t xml:space="preserve">Backmeister</x:t>
        </x:is>
      </x:c>
      <x:c r="E18" s="10" t="n">
        <x:v>0.08333333333333333</x:v>
      </x:c>
      <x:c r="F18" s="10" t="n">
        <x:v>0.4166666666666667</x:v>
      </x:c>
      <x:c r="G18" s="14" t="n">
        <x:v>1</x:v>
      </x:c>
      <x:c r="H18" s="15">
        <x:f>IF(F18&lt;E18,(F18+1-E18)*24,(F18-E18)*24)</x:f>
        <x:v>8</x:v>
      </x:c>
      <x:c r="I18" s="8" t="inlineStr">
        <x:is>
          <x:t xml:space="preserve">Leitung/Qualität, Mentor</x:t>
        </x:is>
      </x:c>
    </x:row>
    <x:row r="19">
      <x:c r="A19" s="8" t="inlineStr">
        <x:is>
          <x:t xml:space="preserve">BACK_NIGHT2_Fri</x:t>
        </x:is>
      </x:c>
      <x:c r="B19" s="8" t="inlineStr">
        <x:is>
          <x:t xml:space="preserve">Fri</x:t>
        </x:is>
      </x:c>
      <x:c r="C19" s="8" t="inlineStr">
        <x:is>
          <x:t xml:space="preserve">BACK</x:t>
        </x:is>
      </x:c>
      <x:c r="D19" s="8" t="inlineStr">
        <x:is>
          <x:t xml:space="preserve">Baeckerei</x:t>
        </x:is>
      </x:c>
      <x:c r="E19" s="10" t="n">
        <x:v>0.08333333333333333</x:v>
      </x:c>
      <x:c r="F19" s="10" t="n">
        <x:v>0.4166666666666667</x:v>
      </x:c>
      <x:c r="G19" s="14" t="n">
        <x:v>1</x:v>
      </x:c>
      <x:c r="H19" s="15">
        <x:f>IF(F19&lt;E19,(F19+1-E19)*24,(F19-E19)*24)</x:f>
        <x:v>8</x:v>
      </x:c>
      <x:c r="I19" s="8" t="inlineStr">
        <x:is>
          <x:t xml:space="preserve">Produktion Kernsortiment</x:t>
        </x:is>
      </x:c>
    </x:row>
    <x:row r="20">
      <x:c r="A20" s="8" t="inlineStr">
        <x:is>
          <x:t xml:space="preserve">BACK_MORN_Fri</x:t>
        </x:is>
      </x:c>
      <x:c r="B20" s="8" t="inlineStr">
        <x:is>
          <x:t xml:space="preserve">Fri</x:t>
        </x:is>
      </x:c>
      <x:c r="C20" s="8" t="inlineStr">
        <x:is>
          <x:t xml:space="preserve">BACK</x:t>
        </x:is>
      </x:c>
      <x:c r="D20" s="8" t="inlineStr">
        <x:is>
          <x:t xml:space="preserve">Baeckerei</x:t>
        </x:is>
      </x:c>
      <x:c r="E20" s="10" t="n">
        <x:v>0.2083333333333333</x:v>
      </x:c>
      <x:c r="F20" s="10" t="n">
        <x:v>0.5416666666666666</x:v>
      </x:c>
      <x:c r="G20" s="14" t="n">
        <x:v>2</x:v>
      </x:c>
      <x:c r="H20" s="15">
        <x:f>IF(F20&lt;E20,(F20+1-E20)*24,(F20-E20)*24)</x:f>
        <x:v>8</x:v>
      </x:c>
      <x:c r="I20" s="8" t="inlineStr">
        <x:is>
          <x:t xml:space="preserve">Nachproduktion, Aufback, Kommissionierung</x:t>
        </x:is>
      </x:c>
    </x:row>
    <x:row r="21">
      <x:c r="A21" s="8" t="inlineStr">
        <x:is>
          <x:t xml:space="preserve">BACK_SUPPORT_Fri</x:t>
        </x:is>
      </x:c>
      <x:c r="B21" s="8" t="inlineStr">
        <x:is>
          <x:t xml:space="preserve">Fri</x:t>
        </x:is>
      </x:c>
      <x:c r="C21" s="8" t="inlineStr">
        <x:is>
          <x:t xml:space="preserve">BACK</x:t>
        </x:is>
      </x:c>
      <x:c r="D21" s="8" t="inlineStr">
        <x:is>
          <x:t xml:space="preserve">Baeckerei_Springer</x:t>
        </x:is>
      </x:c>
      <x:c r="E21" s="10" t="n">
        <x:v>0.375</x:v>
      </x:c>
      <x:c r="F21" s="10" t="n">
        <x:v>0.625</x:v>
      </x:c>
      <x:c r="G21" s="14" t="n">
        <x:v>1</x:v>
      </x:c>
      <x:c r="H21" s="15">
        <x:f>IF(F21&lt;E21,(F21+1-E21)*24,(F21-E21)*24)</x:f>
        <x:v>6</x:v>
      </x:c>
      <x:c r="I21" s="8" t="inlineStr">
        <x:is>
          <x:t xml:space="preserve">Springer: Abwiegen, Spülen, Kommission, Aushelfen</x:t>
        </x:is>
      </x:c>
    </x:row>
    <x:row r="22">
      <x:c r="A22" s="8" t="inlineStr">
        <x:is>
          <x:t xml:space="preserve">BACK_NIGHT_Sat</x:t>
        </x:is>
      </x:c>
      <x:c r="B22" s="8" t="inlineStr">
        <x:is>
          <x:t xml:space="preserve">Sat</x:t>
        </x:is>
      </x:c>
      <x:c r="C22" s="8" t="inlineStr">
        <x:is>
          <x:t xml:space="preserve">BACK</x:t>
        </x:is>
      </x:c>
      <x:c r="D22" s="8" t="inlineStr">
        <x:is>
          <x:t xml:space="preserve">Backmeister</x:t>
        </x:is>
      </x:c>
      <x:c r="E22" s="10" t="n">
        <x:v>0.125</x:v>
      </x:c>
      <x:c r="F22" s="10" t="n">
        <x:v>0.4583333333333333</x:v>
      </x:c>
      <x:c r="G22" s="14" t="n">
        <x:v>1</x:v>
      </x:c>
      <x:c r="H22" s="15">
        <x:f>IF(F22&lt;E22,(F22+1-E22)*24,(F22-E22)*24)</x:f>
        <x:v>8</x:v>
      </x:c>
      <x:c r="I22" s="8" t="inlineStr">
        <x:is>
          <x:t xml:space="preserve">Samstag: höheres Volumen</x:t>
        </x:is>
      </x:c>
    </x:row>
    <x:row r="23">
      <x:c r="A23" s="8" t="inlineStr">
        <x:is>
          <x:t xml:space="preserve">BACK_NIGHT2_Sat</x:t>
        </x:is>
      </x:c>
      <x:c r="B23" s="8" t="inlineStr">
        <x:is>
          <x:t xml:space="preserve">Sat</x:t>
        </x:is>
      </x:c>
      <x:c r="C23" s="8" t="inlineStr">
        <x:is>
          <x:t xml:space="preserve">BACK</x:t>
        </x:is>
      </x:c>
      <x:c r="D23" s="8" t="inlineStr">
        <x:is>
          <x:t xml:space="preserve">Baeckerei</x:t>
        </x:is>
      </x:c>
      <x:c r="E23" s="10" t="n">
        <x:v>0.125</x:v>
      </x:c>
      <x:c r="F23" s="10" t="n">
        <x:v>0.4583333333333333</x:v>
      </x:c>
      <x:c r="G23" s="14" t="n">
        <x:v>1</x:v>
      </x:c>
      <x:c r="H23" s="15">
        <x:f>IF(F23&lt;E23,(F23+1-E23)*24,(F23-E23)*24)</x:f>
        <x:v>8</x:v>
      </x:c>
      <x:c r="I23" s="8" t="inlineStr">
        <x:is>
          <x:t xml:space="preserve"/>
        </x:is>
      </x:c>
    </x:row>
    <x:row r="24">
      <x:c r="A24" s="8" t="inlineStr">
        <x:is>
          <x:t xml:space="preserve">BACK_MORN_Sat</x:t>
        </x:is>
      </x:c>
      <x:c r="B24" s="8" t="inlineStr">
        <x:is>
          <x:t xml:space="preserve">Sat</x:t>
        </x:is>
      </x:c>
      <x:c r="C24" s="8" t="inlineStr">
        <x:is>
          <x:t xml:space="preserve">BACK</x:t>
        </x:is>
      </x:c>
      <x:c r="D24" s="8" t="inlineStr">
        <x:is>
          <x:t xml:space="preserve">Baeckerei</x:t>
        </x:is>
      </x:c>
      <x:c r="E24" s="10" t="n">
        <x:v>0.25</x:v>
      </x:c>
      <x:c r="F24" s="10" t="n">
        <x:v>0.5833333333333334</x:v>
      </x:c>
      <x:c r="G24" s="14" t="n">
        <x:v>2</x:v>
      </x:c>
      <x:c r="H24" s="15">
        <x:f>IF(F24&lt;E24,(F24+1-E24)*24,(F24-E24)*24)</x:f>
        <x:v>8</x:v>
      </x:c>
      <x:c r="I24" s="8" t="inlineStr">
        <x:is>
          <x:t xml:space="preserve">Aufback / Nachproduktion</x:t>
        </x:is>
      </x:c>
    </x:row>
    <x:row r="25">
      <x:c r="A25" s="8" t="inlineStr">
        <x:is>
          <x:t xml:space="preserve">BACK_SUPPORT_Sat</x:t>
        </x:is>
      </x:c>
      <x:c r="B25" s="8" t="inlineStr">
        <x:is>
          <x:t xml:space="preserve">Sat</x:t>
        </x:is>
      </x:c>
      <x:c r="C25" s="8" t="inlineStr">
        <x:is>
          <x:t xml:space="preserve">BACK</x:t>
        </x:is>
      </x:c>
      <x:c r="D25" s="8" t="inlineStr">
        <x:is>
          <x:t xml:space="preserve">Baeckerei_Springer</x:t>
        </x:is>
      </x:c>
      <x:c r="E25" s="10" t="n">
        <x:v>0.3333333333333333</x:v>
      </x:c>
      <x:c r="F25" s="10" t="n">
        <x:v>0.5833333333333334</x:v>
      </x:c>
      <x:c r="G25" s="14" t="n">
        <x:v>1</x:v>
      </x:c>
      <x:c r="H25" s="15">
        <x:f>IF(F25&lt;E25,(F25+1-E25)*24,(F25-E25)*24)</x:f>
        <x:v>6.000000000000002</x:v>
      </x:c>
      <x:c r="I25" s="8" t="inlineStr">
        <x:is>
          <x:t xml:space="preserve"/>
        </x:is>
      </x:c>
    </x:row>
    <x:row r="26">
      <x:c r="A26" s="8" t="inlineStr">
        <x:is>
          <x:t xml:space="preserve">BACK_SUN_1</x:t>
        </x:is>
      </x:c>
      <x:c r="B26" s="8" t="inlineStr">
        <x:is>
          <x:t xml:space="preserve">Sun</x:t>
        </x:is>
      </x:c>
      <x:c r="C26" s="8" t="inlineStr">
        <x:is>
          <x:t xml:space="preserve">BACK</x:t>
        </x:is>
      </x:c>
      <x:c r="D26" s="8" t="inlineStr">
        <x:is>
          <x:t xml:space="preserve">Baeckerei</x:t>
        </x:is>
      </x:c>
      <x:c r="E26" s="10" t="n">
        <x:v>0.25</x:v>
      </x:c>
      <x:c r="F26" s="10" t="n">
        <x:v>0.5</x:v>
      </x:c>
      <x:c r="G26" s="14" t="n">
        <x:v>1</x:v>
      </x:c>
      <x:c r="H26" s="15">
        <x:f>IF(F26&lt;E26,(F26+1-E26)*24,(F26-E26)*24)</x:f>
        <x:v>6</x:v>
      </x:c>
      <x:c r="I26" s="8" t="inlineStr">
        <x:is>
          <x:t xml:space="preserve">Nur Aufback für Sonntagvormittag</x:t>
        </x:is>
      </x:c>
    </x:row>
    <x:row r="27">
      <x:c r="A27" s="8" t="inlineStr">
        <x:is>
          <x:t xml:space="preserve">BACK_SUN_SUP</x:t>
        </x:is>
      </x:c>
      <x:c r="B27" s="8" t="inlineStr">
        <x:is>
          <x:t xml:space="preserve">Sun</x:t>
        </x:is>
      </x:c>
      <x:c r="C27" s="8" t="inlineStr">
        <x:is>
          <x:t xml:space="preserve">BACK</x:t>
        </x:is>
      </x:c>
      <x:c r="D27" s="8" t="inlineStr">
        <x:is>
          <x:t xml:space="preserve">Baeckerei_Springer</x:t>
        </x:is>
      </x:c>
      <x:c r="E27" s="10" t="n">
        <x:v>0.2916666666666667</x:v>
      </x:c>
      <x:c r="F27" s="10" t="n">
        <x:v>0.5</x:v>
      </x:c>
      <x:c r="G27" s="14" t="n">
        <x:v>1</x:v>
      </x:c>
      <x:c r="H27" s="15">
        <x:f>IF(F27&lt;E27,(F27+1-E27)*24,(F27-E27)*24)</x:f>
        <x:v>5</x:v>
      </x:c>
      <x:c r="I27" s="8" t="inlineStr">
        <x:is>
          <x:t xml:space="preserve">Kurzschicht</x:t>
        </x:is>
      </x:c>
    </x:row>
    <x:row r="28">
      <x:c r="A28" s="8" t="inlineStr">
        <x:is>
          <x:t xml:space="preserve">FRONT_LEAD_Mon</x:t>
        </x:is>
      </x:c>
      <x:c r="B28" s="8" t="inlineStr">
        <x:is>
          <x:t xml:space="preserve">Mon</x:t>
        </x:is>
      </x:c>
      <x:c r="C28" s="8" t="inlineStr">
        <x:is>
          <x:t xml:space="preserve">FRONT</x:t>
        </x:is>
      </x:c>
      <x:c r="D28" s="8" t="inlineStr">
        <x:is>
          <x:t xml:space="preserve">Filialleiter</x:t>
        </x:is>
      </x:c>
      <x:c r="E28" s="10" t="n">
        <x:v>0.2291666666666667</x:v>
      </x:c>
      <x:c r="F28" s="10" t="n">
        <x:v>0.5833333333333334</x:v>
      </x:c>
      <x:c r="G28" s="14" t="n">
        <x:v>1</x:v>
      </x:c>
      <x:c r="H28" s="15">
        <x:f>IF(F28&lt;E28,(F28+1-E28)*24,(F28-E28)*24)</x:f>
        <x:v>8.5</x:v>
      </x:c>
      <x:c r="I28" s="8" t="inlineStr">
        <x:is>
          <x:t xml:space="preserve">Schlüssel/Bestellung/Abrechnung</x:t>
        </x:is>
      </x:c>
    </x:row>
    <x:row r="29">
      <x:c r="A29" s="8" t="inlineStr">
        <x:is>
          <x:t xml:space="preserve">FRONT_EARLY_Mon</x:t>
        </x:is>
      </x:c>
      <x:c r="B29" s="8" t="inlineStr">
        <x:is>
          <x:t xml:space="preserve">Mon</x:t>
        </x:is>
      </x:c>
      <x:c r="C29" s="8" t="inlineStr">
        <x:is>
          <x:t xml:space="preserve">FRONT</x:t>
        </x:is>
      </x:c>
      <x:c r="D29" s="8" t="inlineStr">
        <x:is>
          <x:t xml:space="preserve">Kasse</x:t>
        </x:is>
      </x:c>
      <x:c r="E29" s="10" t="n">
        <x:v>0.2291666666666667</x:v>
      </x:c>
      <x:c r="F29" s="10" t="n">
        <x:v>0.5</x:v>
      </x:c>
      <x:c r="G29" s="14" t="n">
        <x:v>2</x:v>
      </x:c>
      <x:c r="H29" s="15">
        <x:f>IF(F29&lt;E29,(F29+1-E29)*24,(F29-E29)*24)</x:f>
        <x:v>6.499999999999998</x:v>
      </x:c>
      <x:c r="I29" s="8" t="inlineStr">
        <x:is>
          <x:t xml:space="preserve">Früh-Peak</x:t>
        </x:is>
      </x:c>
    </x:row>
    <x:row r="30">
      <x:c r="A30" s="8" t="inlineStr">
        <x:is>
          <x:t xml:space="preserve">FRONT_MID_Mon</x:t>
        </x:is>
      </x:c>
      <x:c r="B30" s="8" t="inlineStr">
        <x:is>
          <x:t xml:space="preserve">Mon</x:t>
        </x:is>
      </x:c>
      <x:c r="C30" s="8" t="inlineStr">
        <x:is>
          <x:t xml:space="preserve">FRONT</x:t>
        </x:is>
      </x:c>
      <x:c r="D30" s="8" t="inlineStr">
        <x:is>
          <x:t xml:space="preserve">Kasse</x:t>
        </x:is>
      </x:c>
      <x:c r="E30" s="10" t="n">
        <x:v>0.2916666666666667</x:v>
      </x:c>
      <x:c r="F30" s="10" t="n">
        <x:v>0.625</x:v>
      </x:c>
      <x:c r="G30" s="14" t="n">
        <x:v>1</x:v>
      </x:c>
      <x:c r="H30" s="15">
        <x:f>IF(F30&lt;E30,(F30+1-E30)*24,(F30-E30)*24)</x:f>
        <x:v>8</x:v>
      </x:c>
      <x:c r="I30" s="8" t="inlineStr">
        <x:is>
          <x:t xml:space="preserve">Mittag/Übergabe</x:t>
        </x:is>
      </x:c>
    </x:row>
    <x:row r="31">
      <x:c r="A31" s="8" t="inlineStr">
        <x:is>
          <x:t xml:space="preserve">FRONT_LATE_Mon</x:t>
        </x:is>
      </x:c>
      <x:c r="B31" s="8" t="inlineStr">
        <x:is>
          <x:t xml:space="preserve">Mon</x:t>
        </x:is>
      </x:c>
      <x:c r="C31" s="8" t="inlineStr">
        <x:is>
          <x:t xml:space="preserve">FRONT</x:t>
        </x:is>
      </x:c>
      <x:c r="D31" s="8" t="inlineStr">
        <x:is>
          <x:t xml:space="preserve">Kasse</x:t>
        </x:is>
      </x:c>
      <x:c r="E31" s="10" t="n">
        <x:v>0.5</x:v>
      </x:c>
      <x:c r="F31" s="10" t="n">
        <x:v>0.7708333333333334</x:v>
      </x:c>
      <x:c r="G31" s="14" t="n">
        <x:v>2</x:v>
      </x:c>
      <x:c r="H31" s="15">
        <x:f>IF(F31&lt;E31,(F31+1-E31)*24,(F31-E31)*24)</x:f>
        <x:v>6.500000000000001</x:v>
      </x:c>
      <x:c r="I31" s="8" t="inlineStr">
        <x:is>
          <x:t xml:space="preserve">Nachmittag/Feierabend-Peak + Kassenabschluss</x:t>
        </x:is>
      </x:c>
    </x:row>
    <x:row r="32">
      <x:c r="A32" s="8" t="inlineStr">
        <x:is>
          <x:t xml:space="preserve">FRONT_LEAD_Tue</x:t>
        </x:is>
      </x:c>
      <x:c r="B32" s="8" t="inlineStr">
        <x:is>
          <x:t xml:space="preserve">Tue</x:t>
        </x:is>
      </x:c>
      <x:c r="C32" s="8" t="inlineStr">
        <x:is>
          <x:t xml:space="preserve">FRONT</x:t>
        </x:is>
      </x:c>
      <x:c r="D32" s="8" t="inlineStr">
        <x:is>
          <x:t xml:space="preserve">Filialleiter</x:t>
        </x:is>
      </x:c>
      <x:c r="E32" s="10" t="n">
        <x:v>0.2291666666666667</x:v>
      </x:c>
      <x:c r="F32" s="10" t="n">
        <x:v>0.5833333333333334</x:v>
      </x:c>
      <x:c r="G32" s="14" t="n">
        <x:v>1</x:v>
      </x:c>
      <x:c r="H32" s="15">
        <x:f>IF(F32&lt;E32,(F32+1-E32)*24,(F32-E32)*24)</x:f>
        <x:v>8.5</x:v>
      </x:c>
      <x:c r="I32" s="8" t="inlineStr">
        <x:is>
          <x:t xml:space="preserve">Schlüssel/Bestellung/Abrechnung</x:t>
        </x:is>
      </x:c>
    </x:row>
    <x:row r="33">
      <x:c r="A33" s="8" t="inlineStr">
        <x:is>
          <x:t xml:space="preserve">FRONT_EARLY_Tue</x:t>
        </x:is>
      </x:c>
      <x:c r="B33" s="8" t="inlineStr">
        <x:is>
          <x:t xml:space="preserve">Tue</x:t>
        </x:is>
      </x:c>
      <x:c r="C33" s="8" t="inlineStr">
        <x:is>
          <x:t xml:space="preserve">FRONT</x:t>
        </x:is>
      </x:c>
      <x:c r="D33" s="8" t="inlineStr">
        <x:is>
          <x:t xml:space="preserve">Kasse</x:t>
        </x:is>
      </x:c>
      <x:c r="E33" s="10" t="n">
        <x:v>0.2291666666666667</x:v>
      </x:c>
      <x:c r="F33" s="10" t="n">
        <x:v>0.5</x:v>
      </x:c>
      <x:c r="G33" s="14" t="n">
        <x:v>2</x:v>
      </x:c>
      <x:c r="H33" s="15">
        <x:f>IF(F33&lt;E33,(F33+1-E33)*24,(F33-E33)*24)</x:f>
        <x:v>6.499999999999998</x:v>
      </x:c>
      <x:c r="I33" s="8" t="inlineStr">
        <x:is>
          <x:t xml:space="preserve">Früh-Peak</x:t>
        </x:is>
      </x:c>
    </x:row>
    <x:row r="34">
      <x:c r="A34" s="8" t="inlineStr">
        <x:is>
          <x:t xml:space="preserve">FRONT_MID_Tue</x:t>
        </x:is>
      </x:c>
      <x:c r="B34" s="8" t="inlineStr">
        <x:is>
          <x:t xml:space="preserve">Tue</x:t>
        </x:is>
      </x:c>
      <x:c r="C34" s="8" t="inlineStr">
        <x:is>
          <x:t xml:space="preserve">FRONT</x:t>
        </x:is>
      </x:c>
      <x:c r="D34" s="8" t="inlineStr">
        <x:is>
          <x:t xml:space="preserve">Kasse</x:t>
        </x:is>
      </x:c>
      <x:c r="E34" s="10" t="n">
        <x:v>0.2916666666666667</x:v>
      </x:c>
      <x:c r="F34" s="10" t="n">
        <x:v>0.625</x:v>
      </x:c>
      <x:c r="G34" s="14" t="n">
        <x:v>1</x:v>
      </x:c>
      <x:c r="H34" s="15">
        <x:f>IF(F34&lt;E34,(F34+1-E34)*24,(F34-E34)*24)</x:f>
        <x:v>8</x:v>
      </x:c>
      <x:c r="I34" s="8" t="inlineStr">
        <x:is>
          <x:t xml:space="preserve">Mittag/Übergabe</x:t>
        </x:is>
      </x:c>
    </x:row>
    <x:row r="35">
      <x:c r="A35" s="8" t="inlineStr">
        <x:is>
          <x:t xml:space="preserve">FRONT_LATE_Tue</x:t>
        </x:is>
      </x:c>
      <x:c r="B35" s="8" t="inlineStr">
        <x:is>
          <x:t xml:space="preserve">Tue</x:t>
        </x:is>
      </x:c>
      <x:c r="C35" s="8" t="inlineStr">
        <x:is>
          <x:t xml:space="preserve">FRONT</x:t>
        </x:is>
      </x:c>
      <x:c r="D35" s="8" t="inlineStr">
        <x:is>
          <x:t xml:space="preserve">Kasse</x:t>
        </x:is>
      </x:c>
      <x:c r="E35" s="10" t="n">
        <x:v>0.5</x:v>
      </x:c>
      <x:c r="F35" s="10" t="n">
        <x:v>0.7708333333333334</x:v>
      </x:c>
      <x:c r="G35" s="14" t="n">
        <x:v>2</x:v>
      </x:c>
      <x:c r="H35" s="15">
        <x:f>IF(F35&lt;E35,(F35+1-E35)*24,(F35-E35)*24)</x:f>
        <x:v>6.500000000000001</x:v>
      </x:c>
      <x:c r="I35" s="8" t="inlineStr">
        <x:is>
          <x:t xml:space="preserve">Nachmittag/Feierabend-Peak + Kassenabschluss</x:t>
        </x:is>
      </x:c>
    </x:row>
    <x:row r="36">
      <x:c r="A36" s="8" t="inlineStr">
        <x:is>
          <x:t xml:space="preserve">FRONT_LEAD_Wed</x:t>
        </x:is>
      </x:c>
      <x:c r="B36" s="8" t="inlineStr">
        <x:is>
          <x:t xml:space="preserve">Wed</x:t>
        </x:is>
      </x:c>
      <x:c r="C36" s="8" t="inlineStr">
        <x:is>
          <x:t xml:space="preserve">FRONT</x:t>
        </x:is>
      </x:c>
      <x:c r="D36" s="8" t="inlineStr">
        <x:is>
          <x:t xml:space="preserve">Filialleiter</x:t>
        </x:is>
      </x:c>
      <x:c r="E36" s="10" t="n">
        <x:v>0.2291666666666667</x:v>
      </x:c>
      <x:c r="F36" s="10" t="n">
        <x:v>0.5833333333333334</x:v>
      </x:c>
      <x:c r="G36" s="14" t="n">
        <x:v>1</x:v>
      </x:c>
      <x:c r="H36" s="15">
        <x:f>IF(F36&lt;E36,(F36+1-E36)*24,(F36-E36)*24)</x:f>
        <x:v>8.5</x:v>
      </x:c>
      <x:c r="I36" s="8" t="inlineStr">
        <x:is>
          <x:t xml:space="preserve">Schlüssel/Bestellung/Abrechnung</x:t>
        </x:is>
      </x:c>
    </x:row>
    <x:row r="37">
      <x:c r="A37" s="8" t="inlineStr">
        <x:is>
          <x:t xml:space="preserve">FRONT_EARLY_Wed</x:t>
        </x:is>
      </x:c>
      <x:c r="B37" s="8" t="inlineStr">
        <x:is>
          <x:t xml:space="preserve">Wed</x:t>
        </x:is>
      </x:c>
      <x:c r="C37" s="8" t="inlineStr">
        <x:is>
          <x:t xml:space="preserve">FRONT</x:t>
        </x:is>
      </x:c>
      <x:c r="D37" s="8" t="inlineStr">
        <x:is>
          <x:t xml:space="preserve">Kasse</x:t>
        </x:is>
      </x:c>
      <x:c r="E37" s="10" t="n">
        <x:v>0.2291666666666667</x:v>
      </x:c>
      <x:c r="F37" s="10" t="n">
        <x:v>0.5</x:v>
      </x:c>
      <x:c r="G37" s="14" t="n">
        <x:v>2</x:v>
      </x:c>
      <x:c r="H37" s="15">
        <x:f>IF(F37&lt;E37,(F37+1-E37)*24,(F37-E37)*24)</x:f>
        <x:v>6.499999999999998</x:v>
      </x:c>
      <x:c r="I37" s="8" t="inlineStr">
        <x:is>
          <x:t xml:space="preserve">Früh-Peak</x:t>
        </x:is>
      </x:c>
    </x:row>
    <x:row r="38">
      <x:c r="A38" s="8" t="inlineStr">
        <x:is>
          <x:t xml:space="preserve">FRONT_MID_Wed</x:t>
        </x:is>
      </x:c>
      <x:c r="B38" s="8" t="inlineStr">
        <x:is>
          <x:t xml:space="preserve">Wed</x:t>
        </x:is>
      </x:c>
      <x:c r="C38" s="8" t="inlineStr">
        <x:is>
          <x:t xml:space="preserve">FRONT</x:t>
        </x:is>
      </x:c>
      <x:c r="D38" s="8" t="inlineStr">
        <x:is>
          <x:t xml:space="preserve">Kasse</x:t>
        </x:is>
      </x:c>
      <x:c r="E38" s="10" t="n">
        <x:v>0.2916666666666667</x:v>
      </x:c>
      <x:c r="F38" s="10" t="n">
        <x:v>0.625</x:v>
      </x:c>
      <x:c r="G38" s="14" t="n">
        <x:v>1</x:v>
      </x:c>
      <x:c r="H38" s="15">
        <x:f>IF(F38&lt;E38,(F38+1-E38)*24,(F38-E38)*24)</x:f>
        <x:v>8</x:v>
      </x:c>
      <x:c r="I38" s="8" t="inlineStr">
        <x:is>
          <x:t xml:space="preserve">Mittag/Übergabe</x:t>
        </x:is>
      </x:c>
    </x:row>
    <x:row r="39">
      <x:c r="A39" s="8" t="inlineStr">
        <x:is>
          <x:t xml:space="preserve">FRONT_LATE_Wed</x:t>
        </x:is>
      </x:c>
      <x:c r="B39" s="8" t="inlineStr">
        <x:is>
          <x:t xml:space="preserve">Wed</x:t>
        </x:is>
      </x:c>
      <x:c r="C39" s="8" t="inlineStr">
        <x:is>
          <x:t xml:space="preserve">FRONT</x:t>
        </x:is>
      </x:c>
      <x:c r="D39" s="8" t="inlineStr">
        <x:is>
          <x:t xml:space="preserve">Kasse</x:t>
        </x:is>
      </x:c>
      <x:c r="E39" s="10" t="n">
        <x:v>0.5</x:v>
      </x:c>
      <x:c r="F39" s="10" t="n">
        <x:v>0.7708333333333334</x:v>
      </x:c>
      <x:c r="G39" s="14" t="n">
        <x:v>2</x:v>
      </x:c>
      <x:c r="H39" s="15">
        <x:f>IF(F39&lt;E39,(F39+1-E39)*24,(F39-E39)*24)</x:f>
        <x:v>6.500000000000001</x:v>
      </x:c>
      <x:c r="I39" s="8" t="inlineStr">
        <x:is>
          <x:t xml:space="preserve">Nachmittag/Feierabend-Peak + Kassenabschluss</x:t>
        </x:is>
      </x:c>
    </x:row>
    <x:row r="40">
      <x:c r="A40" s="8" t="inlineStr">
        <x:is>
          <x:t xml:space="preserve">FRONT_LEAD_Thu</x:t>
        </x:is>
      </x:c>
      <x:c r="B40" s="8" t="inlineStr">
        <x:is>
          <x:t xml:space="preserve">Thu</x:t>
        </x:is>
      </x:c>
      <x:c r="C40" s="8" t="inlineStr">
        <x:is>
          <x:t xml:space="preserve">FRONT</x:t>
        </x:is>
      </x:c>
      <x:c r="D40" s="8" t="inlineStr">
        <x:is>
          <x:t xml:space="preserve">Filialleiter</x:t>
        </x:is>
      </x:c>
      <x:c r="E40" s="10" t="n">
        <x:v>0.2291666666666667</x:v>
      </x:c>
      <x:c r="F40" s="10" t="n">
        <x:v>0.5833333333333334</x:v>
      </x:c>
      <x:c r="G40" s="14" t="n">
        <x:v>1</x:v>
      </x:c>
      <x:c r="H40" s="15">
        <x:f>IF(F40&lt;E40,(F40+1-E40)*24,(F40-E40)*24)</x:f>
        <x:v>8.5</x:v>
      </x:c>
      <x:c r="I40" s="8" t="inlineStr">
        <x:is>
          <x:t xml:space="preserve">Schlüssel/Bestellung/Abrechnung</x:t>
        </x:is>
      </x:c>
    </x:row>
    <x:row r="41">
      <x:c r="A41" s="8" t="inlineStr">
        <x:is>
          <x:t xml:space="preserve">FRONT_EARLY_Thu</x:t>
        </x:is>
      </x:c>
      <x:c r="B41" s="8" t="inlineStr">
        <x:is>
          <x:t xml:space="preserve">Thu</x:t>
        </x:is>
      </x:c>
      <x:c r="C41" s="8" t="inlineStr">
        <x:is>
          <x:t xml:space="preserve">FRONT</x:t>
        </x:is>
      </x:c>
      <x:c r="D41" s="8" t="inlineStr">
        <x:is>
          <x:t xml:space="preserve">Kasse</x:t>
        </x:is>
      </x:c>
      <x:c r="E41" s="10" t="n">
        <x:v>0.2291666666666667</x:v>
      </x:c>
      <x:c r="F41" s="10" t="n">
        <x:v>0.5</x:v>
      </x:c>
      <x:c r="G41" s="14" t="n">
        <x:v>2</x:v>
      </x:c>
      <x:c r="H41" s="15">
        <x:f>IF(F41&lt;E41,(F41+1-E41)*24,(F41-E41)*24)</x:f>
        <x:v>6.499999999999998</x:v>
      </x:c>
      <x:c r="I41" s="8" t="inlineStr">
        <x:is>
          <x:t xml:space="preserve">Früh-Peak</x:t>
        </x:is>
      </x:c>
    </x:row>
    <x:row r="42">
      <x:c r="A42" s="8" t="inlineStr">
        <x:is>
          <x:t xml:space="preserve">FRONT_MID_Thu</x:t>
        </x:is>
      </x:c>
      <x:c r="B42" s="8" t="inlineStr">
        <x:is>
          <x:t xml:space="preserve">Thu</x:t>
        </x:is>
      </x:c>
      <x:c r="C42" s="8" t="inlineStr">
        <x:is>
          <x:t xml:space="preserve">FRONT</x:t>
        </x:is>
      </x:c>
      <x:c r="D42" s="8" t="inlineStr">
        <x:is>
          <x:t xml:space="preserve">Kasse</x:t>
        </x:is>
      </x:c>
      <x:c r="E42" s="10" t="n">
        <x:v>0.2916666666666667</x:v>
      </x:c>
      <x:c r="F42" s="10" t="n">
        <x:v>0.625</x:v>
      </x:c>
      <x:c r="G42" s="14" t="n">
        <x:v>1</x:v>
      </x:c>
      <x:c r="H42" s="15">
        <x:f>IF(F42&lt;E42,(F42+1-E42)*24,(F42-E42)*24)</x:f>
        <x:v>8</x:v>
      </x:c>
      <x:c r="I42" s="8" t="inlineStr">
        <x:is>
          <x:t xml:space="preserve">Mittag/Übergabe</x:t>
        </x:is>
      </x:c>
    </x:row>
    <x:row r="43">
      <x:c r="A43" s="8" t="inlineStr">
        <x:is>
          <x:t xml:space="preserve">FRONT_LATE_Thu</x:t>
        </x:is>
      </x:c>
      <x:c r="B43" s="8" t="inlineStr">
        <x:is>
          <x:t xml:space="preserve">Thu</x:t>
        </x:is>
      </x:c>
      <x:c r="C43" s="8" t="inlineStr">
        <x:is>
          <x:t xml:space="preserve">FRONT</x:t>
        </x:is>
      </x:c>
      <x:c r="D43" s="8" t="inlineStr">
        <x:is>
          <x:t xml:space="preserve">Kasse</x:t>
        </x:is>
      </x:c>
      <x:c r="E43" s="10" t="n">
        <x:v>0.5</x:v>
      </x:c>
      <x:c r="F43" s="10" t="n">
        <x:v>0.7708333333333334</x:v>
      </x:c>
      <x:c r="G43" s="14" t="n">
        <x:v>2</x:v>
      </x:c>
      <x:c r="H43" s="15">
        <x:f>IF(F43&lt;E43,(F43+1-E43)*24,(F43-E43)*24)</x:f>
        <x:v>6.500000000000001</x:v>
      </x:c>
      <x:c r="I43" s="8" t="inlineStr">
        <x:is>
          <x:t xml:space="preserve">Nachmittag/Feierabend-Peak + Kassenabschluss</x:t>
        </x:is>
      </x:c>
    </x:row>
    <x:row r="44">
      <x:c r="A44" s="8" t="inlineStr">
        <x:is>
          <x:t xml:space="preserve">FRONT_LEAD_Fri</x:t>
        </x:is>
      </x:c>
      <x:c r="B44" s="8" t="inlineStr">
        <x:is>
          <x:t xml:space="preserve">Fri</x:t>
        </x:is>
      </x:c>
      <x:c r="C44" s="8" t="inlineStr">
        <x:is>
          <x:t xml:space="preserve">FRONT</x:t>
        </x:is>
      </x:c>
      <x:c r="D44" s="8" t="inlineStr">
        <x:is>
          <x:t xml:space="preserve">Filialleiter</x:t>
        </x:is>
      </x:c>
      <x:c r="E44" s="10" t="n">
        <x:v>0.2291666666666667</x:v>
      </x:c>
      <x:c r="F44" s="10" t="n">
        <x:v>0.5833333333333334</x:v>
      </x:c>
      <x:c r="G44" s="14" t="n">
        <x:v>1</x:v>
      </x:c>
      <x:c r="H44" s="15">
        <x:f>IF(F44&lt;E44,(F44+1-E44)*24,(F44-E44)*24)</x:f>
        <x:v>8.5</x:v>
      </x:c>
      <x:c r="I44" s="8" t="inlineStr">
        <x:is>
          <x:t xml:space="preserve">Schlüssel/Bestellung/Abrechnung</x:t>
        </x:is>
      </x:c>
    </x:row>
    <x:row r="45">
      <x:c r="A45" s="8" t="inlineStr">
        <x:is>
          <x:t xml:space="preserve">FRONT_EARLY_Fri</x:t>
        </x:is>
      </x:c>
      <x:c r="B45" s="8" t="inlineStr">
        <x:is>
          <x:t xml:space="preserve">Fri</x:t>
        </x:is>
      </x:c>
      <x:c r="C45" s="8" t="inlineStr">
        <x:is>
          <x:t xml:space="preserve">FRONT</x:t>
        </x:is>
      </x:c>
      <x:c r="D45" s="8" t="inlineStr">
        <x:is>
          <x:t xml:space="preserve">Kasse</x:t>
        </x:is>
      </x:c>
      <x:c r="E45" s="10" t="n">
        <x:v>0.2291666666666667</x:v>
      </x:c>
      <x:c r="F45" s="10" t="n">
        <x:v>0.5</x:v>
      </x:c>
      <x:c r="G45" s="14" t="n">
        <x:v>2</x:v>
      </x:c>
      <x:c r="H45" s="15">
        <x:f>IF(F45&lt;E45,(F45+1-E45)*24,(F45-E45)*24)</x:f>
        <x:v>6.499999999999998</x:v>
      </x:c>
      <x:c r="I45" s="8" t="inlineStr">
        <x:is>
          <x:t xml:space="preserve">Früh-Peak</x:t>
        </x:is>
      </x:c>
    </x:row>
    <x:row r="46">
      <x:c r="A46" s="8" t="inlineStr">
        <x:is>
          <x:t xml:space="preserve">FRONT_MID_Fri</x:t>
        </x:is>
      </x:c>
      <x:c r="B46" s="8" t="inlineStr">
        <x:is>
          <x:t xml:space="preserve">Fri</x:t>
        </x:is>
      </x:c>
      <x:c r="C46" s="8" t="inlineStr">
        <x:is>
          <x:t xml:space="preserve">FRONT</x:t>
        </x:is>
      </x:c>
      <x:c r="D46" s="8" t="inlineStr">
        <x:is>
          <x:t xml:space="preserve">Kasse</x:t>
        </x:is>
      </x:c>
      <x:c r="E46" s="10" t="n">
        <x:v>0.2916666666666667</x:v>
      </x:c>
      <x:c r="F46" s="10" t="n">
        <x:v>0.625</x:v>
      </x:c>
      <x:c r="G46" s="14" t="n">
        <x:v>1</x:v>
      </x:c>
      <x:c r="H46" s="15">
        <x:f>IF(F46&lt;E46,(F46+1-E46)*24,(F46-E46)*24)</x:f>
        <x:v>8</x:v>
      </x:c>
      <x:c r="I46" s="8" t="inlineStr">
        <x:is>
          <x:t xml:space="preserve">Mittag/Übergabe</x:t>
        </x:is>
      </x:c>
    </x:row>
    <x:row r="47">
      <x:c r="A47" s="8" t="inlineStr">
        <x:is>
          <x:t xml:space="preserve">FRONT_LATE_Fri</x:t>
        </x:is>
      </x:c>
      <x:c r="B47" s="8" t="inlineStr">
        <x:is>
          <x:t xml:space="preserve">Fri</x:t>
        </x:is>
      </x:c>
      <x:c r="C47" s="8" t="inlineStr">
        <x:is>
          <x:t xml:space="preserve">FRONT</x:t>
        </x:is>
      </x:c>
      <x:c r="D47" s="8" t="inlineStr">
        <x:is>
          <x:t xml:space="preserve">Kasse</x:t>
        </x:is>
      </x:c>
      <x:c r="E47" s="10" t="n">
        <x:v>0.5</x:v>
      </x:c>
      <x:c r="F47" s="10" t="n">
        <x:v>0.7708333333333334</x:v>
      </x:c>
      <x:c r="G47" s="14" t="n">
        <x:v>2</x:v>
      </x:c>
      <x:c r="H47" s="15">
        <x:f>IF(F47&lt;E47,(F47+1-E47)*24,(F47-E47)*24)</x:f>
        <x:v>6.500000000000001</x:v>
      </x:c>
      <x:c r="I47" s="8" t="inlineStr">
        <x:is>
          <x:t xml:space="preserve">Nachmittag/Feierabend-Peak + Kassenabschluss</x:t>
        </x:is>
      </x:c>
    </x:row>
    <x:row r="48">
      <x:c r="A48" s="8" t="inlineStr">
        <x:is>
          <x:t xml:space="preserve">FRONT_LEAD_Sat</x:t>
        </x:is>
      </x:c>
      <x:c r="B48" s="8" t="inlineStr">
        <x:is>
          <x:t xml:space="preserve">Sat</x:t>
        </x:is>
      </x:c>
      <x:c r="C48" s="8" t="inlineStr">
        <x:is>
          <x:t xml:space="preserve">FRONT</x:t>
        </x:is>
      </x:c>
      <x:c r="D48" s="8" t="inlineStr">
        <x:is>
          <x:t xml:space="preserve">Filialleiter</x:t>
        </x:is>
      </x:c>
      <x:c r="E48" s="10" t="n">
        <x:v>0.25</x:v>
      </x:c>
      <x:c r="F48" s="10" t="n">
        <x:v>0.5</x:v>
      </x:c>
      <x:c r="G48" s="14" t="n">
        <x:v>1</x:v>
      </x:c>
      <x:c r="H48" s="15">
        <x:f>IF(F48&lt;E48,(F48+1-E48)*24,(F48-E48)*24)</x:f>
        <x:v>6</x:v>
      </x:c>
      <x:c r="I48" s="8" t="inlineStr">
        <x:is>
          <x:t xml:space="preserve"/>
        </x:is>
      </x:c>
    </x:row>
    <x:row r="49">
      <x:c r="A49" s="8" t="inlineStr">
        <x:is>
          <x:t xml:space="preserve">FRONT_EARLY_Sat</x:t>
        </x:is>
      </x:c>
      <x:c r="B49" s="8" t="inlineStr">
        <x:is>
          <x:t xml:space="preserve">Sat</x:t>
        </x:is>
      </x:c>
      <x:c r="C49" s="8" t="inlineStr">
        <x:is>
          <x:t xml:space="preserve">FRONT</x:t>
        </x:is>
      </x:c>
      <x:c r="D49" s="8" t="inlineStr">
        <x:is>
          <x:t xml:space="preserve">Kasse</x:t>
        </x:is>
      </x:c>
      <x:c r="E49" s="10" t="n">
        <x:v>0.25</x:v>
      </x:c>
      <x:c r="F49" s="10" t="n">
        <x:v>0.5833333333333334</x:v>
      </x:c>
      <x:c r="G49" s="14" t="n">
        <x:v>3</x:v>
      </x:c>
      <x:c r="H49" s="15">
        <x:f>IF(F49&lt;E49,(F49+1-E49)*24,(F49-E49)*24)</x:f>
        <x:v>8</x:v>
      </x:c>
      <x:c r="I49" s="8" t="inlineStr">
        <x:is>
          <x:t xml:space="preserve">Samstag: hoher Andrang</x:t>
        </x:is>
      </x:c>
    </x:row>
    <x:row r="50">
      <x:c r="A50" s="8" t="inlineStr">
        <x:is>
          <x:t xml:space="preserve">FRONT_LATE_Sat</x:t>
        </x:is>
      </x:c>
      <x:c r="B50" s="8" t="inlineStr">
        <x:is>
          <x:t xml:space="preserve">Sat</x:t>
        </x:is>
      </x:c>
      <x:c r="C50" s="8" t="inlineStr">
        <x:is>
          <x:t xml:space="preserve">FRONT</x:t>
        </x:is>
      </x:c>
      <x:c r="D50" s="8" t="inlineStr">
        <x:is>
          <x:t xml:space="preserve">Kasse</x:t>
        </x:is>
      </x:c>
      <x:c r="E50" s="10" t="n">
        <x:v>0.4166666666666667</x:v>
      </x:c>
      <x:c r="F50" s="10" t="n">
        <x:v>0.6875</x:v>
      </x:c>
      <x:c r="G50" s="14" t="n">
        <x:v>2</x:v>
      </x:c>
      <x:c r="H50" s="15">
        <x:f>IF(F50&lt;E50,(F50+1-E50)*24,(F50-E50)*24)</x:f>
        <x:v>6.5</x:v>
      </x:c>
      <x:c r="I50" s="8" t="inlineStr">
        <x:is>
          <x:t xml:space="preserve">Abdeckung bis Ladenschluss</x:t>
        </x:is>
      </x:c>
    </x:row>
    <x:row r="51">
      <x:c r="A51" s="8" t="inlineStr">
        <x:is>
          <x:t xml:space="preserve">FRONT_SUN</x:t>
        </x:is>
      </x:c>
      <x:c r="B51" s="8" t="inlineStr">
        <x:is>
          <x:t xml:space="preserve">Sun</x:t>
        </x:is>
      </x:c>
      <x:c r="C51" s="8" t="inlineStr">
        <x:is>
          <x:t xml:space="preserve">FRONT</x:t>
        </x:is>
      </x:c>
      <x:c r="D51" s="8" t="inlineStr">
        <x:is>
          <x:t xml:space="preserve">Kasse</x:t>
        </x:is>
      </x:c>
      <x:c r="E51" s="10" t="n">
        <x:v>0.2708333333333333</x:v>
      </x:c>
      <x:c r="F51" s="10" t="n">
        <x:v>0.5208333333333334</x:v>
      </x:c>
      <x:c r="G51" s="14" t="n">
        <x:v>2</x:v>
      </x:c>
      <x:c r="H51" s="15">
        <x:f>IF(F51&lt;E51,(F51+1-E51)*24,(F51-E51)*24)</x:f>
      </x:c>
      <x:c r="I51" s="8" t="inlineStr">
        <x:is>
          <x:t xml:space="preserve">Öffnung 07:00–12:00; Vorbereitungszeit inklusive</x:t>
        </x:is>
      </x:c>
    </x:row>
    <x:row r="52">
      <x:c r="A52" s="8" t="inlineStr">
        <x:is>
          <x:t xml:space="preserve">FRONT_LEAD_Sun</x:t>
        </x:is>
      </x:c>
      <x:c r="B52" s="8" t="inlineStr">
        <x:is>
          <x:t xml:space="preserve">Sun</x:t>
        </x:is>
      </x:c>
      <x:c r="C52" s="8" t="inlineStr">
        <x:is>
          <x:t xml:space="preserve">FRONT</x:t>
        </x:is>
      </x:c>
      <x:c r="D52" s="8" t="inlineStr">
        <x:is>
          <x:t xml:space="preserve">Filialleiter</x:t>
        </x:is>
      </x:c>
      <x:c r="E52" s="10" t="n">
        <x:v>0.2708333333333333</x:v>
      </x:c>
      <x:c r="F52" s="10" t="n">
        <x:v>0.5208333333333334</x:v>
      </x:c>
      <x:c r="G52" s="14" t="n">
        <x:v>1</x:v>
      </x:c>
      <x:c r="H52" s="15">
        <x:f>IF(F52&lt;E52,(F52+1-E52)*24,(F52-E52)*24)</x:f>
      </x:c>
      <x:c r="I52" s="8" t="inlineStr">
        <x:is>
          <x:t xml:space="preserve">Nur wenn Sonntagsöffnung mit Leitung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4" customWidth="1"/>
    <x:col min="3" max="3" width="12" customWidth="1"/>
    <x:col min="4" max="4" width="12" customWidth="1"/>
    <x:col min="5" max="5" width="60" customWidth="1"/>
  </x:cols>
  <x:sheetData>
    <x:row r="1">
      <x:c r="A1" s="5" t="inlineStr">
        <x:is>
          <x:t xml:space="preserve">EmployeeID</x:t>
        </x:is>
      </x:c>
      <x:c r="B1" s="5" t="inlineStr">
        <x:is>
          <x:t xml:space="preserve">AbsenceType</x:t>
        </x:is>
      </x:c>
      <x:c r="C1" s="5" t="inlineStr">
        <x:is>
          <x:t xml:space="preserve">StartDate</x:t>
        </x:is>
      </x:c>
      <x:c r="D1" s="5" t="inlineStr">
        <x:is>
          <x:t xml:space="preserve">EndDate</x:t>
        </x:is>
      </x:c>
      <x:c r="E1" s="5" t="inlineStr">
        <x:is>
          <x:t xml:space="preserve">Notes</x:t>
        </x:is>
      </x:c>
    </x:row>
    <x:row r="2">
      <x:c r="A2" s="8" t="n"/>
      <x:c r="B2" s="8" t="n"/>
      <x:c r="C2" s="7" t="n"/>
      <x:c r="D2" s="7" t="n"/>
      <x:c r="E2" s="8" t="n"/>
    </x:row>
    <x:row r="3">
      <x:c r="A3" s="8" t="n"/>
      <x:c r="B3" s="8" t="n"/>
      <x:c r="C3" s="7" t="n"/>
      <x:c r="D3" s="7" t="n"/>
      <x:c r="E3" s="8" t="n"/>
    </x:row>
    <x:row r="4">
      <x:c r="A4" s="8" t="n"/>
      <x:c r="B4" s="8" t="n"/>
      <x:c r="C4" s="8" t="n"/>
      <x:c r="D4" s="8" t="n"/>
      <x:c r="E4" s="8" t="n"/>
    </x:row>
    <x:row r="5">
      <x:c r="A5" s="8" t="n"/>
      <x:c r="B5" s="8" t="n"/>
      <x:c r="C5" s="8" t="n"/>
      <x:c r="D5" s="8" t="n"/>
      <x:c r="E5" s="8" t="n"/>
    </x:row>
    <x:row r="6">
      <x:c r="A6" s="8" t="n"/>
      <x:c r="B6" s="8" t="n"/>
      <x:c r="C6" s="8" t="n"/>
      <x:c r="D6" s="8" t="n"/>
      <x:c r="E6" s="8" t="n"/>
    </x:row>
    <x:row r="7">
      <x:c r="A7" s="8" t="n"/>
      <x:c r="B7" s="8" t="n"/>
      <x:c r="C7" s="8" t="n"/>
      <x:c r="D7" s="8" t="n"/>
      <x:c r="E7" s="8" t="n"/>
    </x:row>
    <x:row r="8">
      <x:c r="A8" s="8" t="n"/>
      <x:c r="B8" s="8" t="n"/>
      <x:c r="C8" s="8" t="n"/>
      <x:c r="D8" s="8" t="n"/>
      <x:c r="E8" s="8" t="n"/>
    </x:row>
    <x:row r="9">
      <x:c r="A9" s="8" t="n"/>
      <x:c r="B9" s="8" t="n"/>
      <x:c r="C9" s="8" t="n"/>
      <x:c r="D9" s="8" t="n"/>
      <x:c r="E9" s="8" t="n"/>
    </x:row>
    <x:row r="10">
      <x:c r="A10" s="8" t="n"/>
      <x:c r="B10" s="8" t="n"/>
      <x:c r="C10" s="8" t="n"/>
      <x:c r="D10" s="8" t="n"/>
      <x:c r="E10" s="8" t="n"/>
    </x:row>
    <x:row r="11">
      <x:c r="A11" s="8" t="n"/>
      <x:c r="B11" s="8" t="n"/>
      <x:c r="C11" s="8" t="n"/>
      <x:c r="D11" s="8" t="n"/>
      <x:c r="E11" s="8" t="n"/>
    </x:row>
    <x:row r="12">
      <x:c r="A12" s="8" t="n"/>
      <x:c r="B12" s="8" t="n"/>
      <x:c r="C12" s="8" t="n"/>
      <x:c r="D12" s="8" t="n"/>
      <x:c r="E12" s="8" t="n"/>
    </x:row>
    <x:row r="13">
      <x:c r="A13" s="8" t="n"/>
      <x:c r="B13" s="8" t="n"/>
      <x:c r="C13" s="8" t="n"/>
      <x:c r="D13" s="8" t="n"/>
      <x:c r="E13" s="8" t="n"/>
    </x:row>
    <x:row r="14">
      <x:c r="A14" s="8" t="n"/>
      <x:c r="B14" s="8" t="n"/>
      <x:c r="C14" s="8" t="n"/>
      <x:c r="D14" s="8" t="n"/>
      <x:c r="E14" s="8" t="n"/>
    </x:row>
    <x:row r="15">
      <x:c r="A15" s="8" t="n"/>
      <x:c r="B15" s="8" t="n"/>
      <x:c r="C15" s="8" t="n"/>
      <x:c r="D15" s="8" t="n"/>
      <x:c r="E15" s="8" t="n"/>
    </x:row>
    <x:row r="16">
      <x:c r="A16" s="8" t="n"/>
      <x:c r="B16" s="8" t="n"/>
      <x:c r="C16" s="8" t="n"/>
      <x:c r="D16" s="8" t="n"/>
      <x:c r="E16" s="8" t="n"/>
    </x:row>
    <x:row r="17">
      <x:c r="A17" s="8" t="n"/>
      <x:c r="B17" s="8" t="n"/>
      <x:c r="C17" s="8" t="n"/>
      <x:c r="D17" s="8" t="n"/>
      <x:c r="E17" s="8" t="n"/>
    </x:row>
    <x:row r="18">
      <x:c r="A18" s="8" t="n"/>
      <x:c r="B18" s="8" t="n"/>
      <x:c r="C18" s="8" t="n"/>
      <x:c r="D18" s="8" t="n"/>
      <x:c r="E18" s="8" t="n"/>
    </x:row>
    <x:row r="19">
      <x:c r="A19" s="8" t="n"/>
      <x:c r="B19" s="8" t="n"/>
      <x:c r="C19" s="8" t="n"/>
      <x:c r="D19" s="8" t="n"/>
      <x:c r="E19" s="8" t="n"/>
    </x:row>
    <x:row r="20">
      <x:c r="A20" s="8" t="n"/>
      <x:c r="B20" s="8" t="n"/>
      <x:c r="C20" s="8" t="n"/>
      <x:c r="D20" s="8" t="n"/>
      <x:c r="E20" s="8" t="n"/>
    </x:row>
    <x:row r="21">
      <x:c r="A21" s="8" t="n"/>
      <x:c r="B21" s="8" t="n"/>
      <x:c r="C21" s="8" t="n"/>
      <x:c r="D21" s="8" t="n"/>
      <x:c r="E21" s="8" t="n"/>
    </x:row>
    <x:row r="22">
      <x:c r="A22" s="8" t="n"/>
      <x:c r="B22" s="8" t="n"/>
      <x:c r="C22" s="8" t="n"/>
      <x:c r="D22" s="8" t="n"/>
      <x:c r="E22" s="8" t="n"/>
    </x:row>
    <x:row r="23">
      <x:c r="A23" s="8" t="n"/>
      <x:c r="B23" s="8" t="n"/>
      <x:c r="C23" s="8" t="n"/>
      <x:c r="D23" s="8" t="n"/>
      <x:c r="E23" s="8" t="n"/>
    </x:row>
    <x:row r="24">
      <x:c r="A24" s="8" t="n"/>
      <x:c r="B24" s="8" t="n"/>
      <x:c r="C24" s="8" t="n"/>
      <x:c r="D24" s="8" t="n"/>
      <x:c r="E24" s="8" t="n"/>
    </x:row>
    <x:row r="25">
      <x:c r="A25" s="8" t="n"/>
      <x:c r="B25" s="8" t="n"/>
      <x:c r="C25" s="8" t="n"/>
      <x:c r="D25" s="8" t="n"/>
      <x:c r="E25" s="8" t="n"/>
    </x:row>
    <x:row r="26">
      <x:c r="A26" s="8" t="n"/>
      <x:c r="B26" s="8" t="n"/>
      <x:c r="C26" s="8" t="n"/>
      <x:c r="D26" s="8" t="n"/>
      <x:c r="E26" s="8" t="n"/>
    </x:row>
    <x:row r="27">
      <x:c r="A27" s="8" t="n"/>
      <x:c r="B27" s="8" t="n"/>
      <x:c r="C27" s="8" t="n"/>
      <x:c r="D27" s="8" t="n"/>
      <x:c r="E27" s="8" t="n"/>
    </x:row>
    <x:row r="28">
      <x:c r="A28" s="8" t="n"/>
      <x:c r="B28" s="8" t="n"/>
      <x:c r="C28" s="8" t="n"/>
      <x:c r="D28" s="8" t="n"/>
      <x:c r="E28" s="8" t="n"/>
    </x:row>
    <x:row r="29">
      <x:c r="A29" s="8" t="n"/>
      <x:c r="B29" s="8" t="n"/>
      <x:c r="C29" s="8" t="n"/>
      <x:c r="D29" s="8" t="n"/>
      <x:c r="E29" s="8" t="n"/>
    </x:row>
    <x:row r="30">
      <x:c r="A30" s="8" t="n"/>
      <x:c r="B30" s="8" t="n"/>
      <x:c r="C30" s="8" t="n"/>
      <x:c r="D30" s="8" t="n"/>
      <x:c r="E30" s="8" t="n"/>
    </x:row>
    <x:row r="31">
      <x:c r="A31" s="8" t="n"/>
      <x:c r="B31" s="8" t="n"/>
      <x:c r="C31" s="8" t="n"/>
      <x:c r="D31" s="8" t="n"/>
      <x:c r="E31" s="8" t="n"/>
    </x:row>
    <x:row r="32">
      <x:c r="A32" s="8" t="n"/>
      <x:c r="B32" s="8" t="n"/>
      <x:c r="C32" s="8" t="n"/>
      <x:c r="D32" s="8" t="n"/>
      <x:c r="E32" s="8" t="n"/>
    </x:row>
    <x:row r="33">
      <x:c r="A33" s="8" t="n"/>
      <x:c r="B33" s="8" t="n"/>
      <x:c r="C33" s="8" t="n"/>
      <x:c r="D33" s="8" t="n"/>
      <x:c r="E33" s="8" t="n"/>
    </x:row>
    <x:row r="34">
      <x:c r="A34" s="8" t="n"/>
      <x:c r="B34" s="8" t="n"/>
      <x:c r="C34" s="8" t="n"/>
      <x:c r="D34" s="8" t="n"/>
      <x:c r="E34" s="8" t="n"/>
    </x:row>
    <x:row r="35">
      <x:c r="A35" s="8" t="n"/>
      <x:c r="B35" s="8" t="n"/>
      <x:c r="C35" s="8" t="n"/>
      <x:c r="D35" s="8" t="n"/>
      <x:c r="E35" s="8" t="n"/>
    </x:row>
    <x:row r="36">
      <x:c r="A36" s="8" t="n"/>
      <x:c r="B36" s="8" t="n"/>
      <x:c r="C36" s="8" t="n"/>
      <x:c r="D36" s="8" t="n"/>
      <x:c r="E36" s="8" t="n"/>
    </x:row>
    <x:row r="37">
      <x:c r="A37" s="8" t="n"/>
      <x:c r="B37" s="8" t="n"/>
      <x:c r="C37" s="8" t="n"/>
      <x:c r="D37" s="8" t="n"/>
      <x:c r="E37" s="8" t="n"/>
    </x:row>
    <x:row r="38">
      <x:c r="A38" s="8" t="n"/>
      <x:c r="B38" s="8" t="n"/>
      <x:c r="C38" s="8" t="n"/>
      <x:c r="D38" s="8" t="n"/>
      <x:c r="E38" s="8" t="n"/>
    </x:row>
    <x:row r="39">
      <x:c r="A39" s="8" t="n"/>
      <x:c r="B39" s="8" t="n"/>
      <x:c r="C39" s="8" t="n"/>
      <x:c r="D39" s="8" t="n"/>
      <x:c r="E39" s="8" t="n"/>
    </x:row>
    <x:row r="40">
      <x:c r="A40" s="8" t="n"/>
      <x:c r="B40" s="8" t="n"/>
      <x:c r="C40" s="8" t="n"/>
      <x:c r="D40" s="8" t="n"/>
      <x:c r="E40" s="8" t="n"/>
    </x:row>
    <x:row r="41">
      <x:c r="A41" s="8" t="n"/>
      <x:c r="B41" s="8" t="n"/>
      <x:c r="C41" s="8" t="n"/>
      <x:c r="D41" s="8" t="n"/>
      <x:c r="E41" s="8" t="n"/>
    </x:row>
    <x:row r="42">
      <x:c r="A42" s="8" t="n"/>
      <x:c r="B42" s="8" t="n"/>
      <x:c r="C42" s="8" t="n"/>
      <x:c r="D42" s="8" t="n"/>
      <x:c r="E42" s="8" t="n"/>
    </x:row>
    <x:row r="43">
      <x:c r="A43" s="8" t="n"/>
      <x:c r="B43" s="8" t="n"/>
      <x:c r="C43" s="8" t="n"/>
      <x:c r="D43" s="8" t="n"/>
      <x:c r="E43" s="8" t="n"/>
    </x:row>
    <x:row r="44">
      <x:c r="A44" s="8" t="n"/>
      <x:c r="B44" s="8" t="n"/>
      <x:c r="C44" s="8" t="n"/>
      <x:c r="D44" s="8" t="n"/>
      <x:c r="E44" s="8" t="n"/>
    </x:row>
    <x:row r="45">
      <x:c r="A45" s="8" t="n"/>
      <x:c r="B45" s="8" t="n"/>
      <x:c r="C45" s="8" t="n"/>
      <x:c r="D45" s="8" t="n"/>
      <x:c r="E45" s="8" t="n"/>
    </x:row>
    <x:row r="46">
      <x:c r="A46" s="8" t="n"/>
      <x:c r="B46" s="8" t="n"/>
      <x:c r="C46" s="8" t="n"/>
      <x:c r="D46" s="8" t="n"/>
      <x:c r="E46" s="8" t="n"/>
    </x:row>
    <x:row r="47">
      <x:c r="A47" s="8" t="n"/>
      <x:c r="B47" s="8" t="n"/>
      <x:c r="C47" s="8" t="n"/>
      <x:c r="D47" s="8" t="n"/>
      <x:c r="E47" s="8" t="n"/>
    </x:row>
    <x:row r="48">
      <x:c r="A48" s="8" t="n"/>
      <x:c r="B48" s="8" t="n"/>
      <x:c r="C48" s="8" t="n"/>
      <x:c r="D48" s="8" t="n"/>
      <x:c r="E48" s="8" t="n"/>
    </x:row>
    <x:row r="49">
      <x:c r="A49" s="8" t="n"/>
      <x:c r="B49" s="8" t="n"/>
      <x:c r="C49" s="8" t="n"/>
      <x:c r="D49" s="8" t="n"/>
      <x:c r="E49" s="8" t="n"/>
    </x:row>
    <x:row r="50">
      <x:c r="A50" s="6" t="n"/>
      <x:c r="B50" s="6" t="n"/>
      <x:c r="C50" s="6" t="n"/>
      <x:c r="D50" s="6" t="n"/>
      <x:c r="E50" s="6" t="n"/>
    </x:row>
    <x:row r="51">
      <x:c r="A51" s="6" t="n"/>
      <x:c r="B51" s="6" t="n"/>
      <x:c r="C51" s="6" t="n"/>
      <x:c r="D51" s="6" t="n"/>
      <x:c r="E51" s="6" t="n"/>
    </x:row>
    <x:row r="52">
      <x:c r="A52" s="6" t="n"/>
      <x:c r="B52" s="6" t="n"/>
      <x:c r="C52" s="6" t="n"/>
      <x:c r="D52" s="6" t="n"/>
      <x:c r="E52" s="6" t="n"/>
    </x:row>
    <x:row r="53">
      <x:c r="A53" s="6" t="n"/>
      <x:c r="B53" s="6" t="n"/>
      <x:c r="C53" s="6" t="n"/>
      <x:c r="D53" s="6" t="n"/>
      <x:c r="E53" s="6" t="n"/>
    </x:row>
    <x:row r="54">
      <x:c r="A54" s="6" t="n"/>
      <x:c r="B54" s="6" t="n"/>
      <x:c r="C54" s="6" t="n"/>
      <x:c r="D54" s="6" t="n"/>
      <x:c r="E54" s="6" t="n"/>
    </x:row>
    <x:row r="55">
      <x:c r="A55" s="6" t="n"/>
      <x:c r="B55" s="6" t="n"/>
      <x:c r="C55" s="6" t="n"/>
      <x:c r="D55" s="6" t="n"/>
      <x:c r="E55" s="6" t="n"/>
    </x:row>
    <x:row r="56">
      <x:c r="A56" s="6" t="n"/>
      <x:c r="B56" s="6" t="n"/>
      <x:c r="C56" s="6" t="n"/>
      <x:c r="D56" s="6" t="n"/>
      <x:c r="E56" s="6" t="n"/>
    </x:row>
    <x:row r="57">
      <x:c r="A57" s="6" t="n"/>
      <x:c r="B57" s="6" t="n"/>
      <x:c r="C57" s="6" t="n"/>
      <x:c r="D57" s="6" t="n"/>
      <x:c r="E57" s="6" t="n"/>
    </x:row>
    <x:row r="58">
      <x:c r="A58" s="6" t="n"/>
      <x:c r="B58" s="6" t="n"/>
      <x:c r="C58" s="6" t="n"/>
      <x:c r="D58" s="6" t="n"/>
      <x:c r="E58" s="6" t="n"/>
    </x:row>
    <x:row r="59">
      <x:c r="A59" s="6" t="n"/>
      <x:c r="B59" s="6" t="n"/>
      <x:c r="C59" s="6" t="n"/>
      <x:c r="D59" s="6" t="n"/>
      <x:c r="E59" s="6" t="n"/>
    </x:row>
    <x:row r="60">
      <x:c r="A60" s="6" t="n"/>
      <x:c r="B60" s="6" t="n"/>
      <x:c r="C60" s="6" t="n"/>
      <x:c r="D60" s="6" t="n"/>
      <x:c r="E60" s="6" t="n"/>
    </x:row>
    <x:row r="61">
      <x:c r="A61" s="6" t="n"/>
      <x:c r="B61" s="6" t="n"/>
      <x:c r="C61" s="6" t="n"/>
      <x:c r="D61" s="6" t="n"/>
      <x:c r="E61" s="6" t="n"/>
    </x:row>
    <x:row r="62">
      <x:c r="A62" s="6" t="n"/>
      <x:c r="B62" s="6" t="n"/>
      <x:c r="C62" s="6" t="n"/>
      <x:c r="D62" s="6" t="n"/>
      <x:c r="E62" s="6" t="n"/>
    </x:row>
    <x:row r="63">
      <x:c r="A63" s="6" t="n"/>
      <x:c r="B63" s="6" t="n"/>
      <x:c r="C63" s="6" t="n"/>
      <x:c r="D63" s="6" t="n"/>
      <x:c r="E63" s="6" t="n"/>
    </x:row>
    <x:row r="64">
      <x:c r="A64" s="6" t="n"/>
      <x:c r="B64" s="6" t="n"/>
      <x:c r="C64" s="6" t="n"/>
      <x:c r="D64" s="6" t="n"/>
      <x:c r="E64" s="6" t="n"/>
    </x:row>
    <x:row r="65">
      <x:c r="A65" s="6" t="n"/>
      <x:c r="B65" s="6" t="n"/>
      <x:c r="C65" s="6" t="n"/>
      <x:c r="D65" s="6" t="n"/>
      <x:c r="E65" s="6" t="n"/>
    </x:row>
    <x:row r="66">
      <x:c r="A66" s="6" t="n"/>
      <x:c r="B66" s="6" t="n"/>
      <x:c r="C66" s="6" t="n"/>
      <x:c r="D66" s="6" t="n"/>
      <x:c r="E66" s="6" t="n"/>
    </x:row>
    <x:row r="67">
      <x:c r="A67" s="6" t="n"/>
      <x:c r="B67" s="6" t="n"/>
      <x:c r="C67" s="6" t="n"/>
      <x:c r="D67" s="6" t="n"/>
      <x:c r="E67" s="6" t="n"/>
    </x:row>
    <x:row r="68">
      <x:c r="A68" s="6" t="n"/>
      <x:c r="B68" s="6" t="n"/>
      <x:c r="C68" s="6" t="n"/>
      <x:c r="D68" s="6" t="n"/>
      <x:c r="E68" s="6" t="n"/>
    </x:row>
    <x:row r="69">
      <x:c r="A69" s="6" t="n"/>
      <x:c r="B69" s="6" t="n"/>
      <x:c r="C69" s="6" t="n"/>
      <x:c r="D69" s="6" t="n"/>
      <x:c r="E69" s="6" t="n"/>
    </x:row>
    <x:row r="70">
      <x:c r="A70" s="6" t="n"/>
      <x:c r="B70" s="6" t="n"/>
      <x:c r="C70" s="6" t="n"/>
      <x:c r="D70" s="6" t="n"/>
      <x:c r="E70" s="6" t="n"/>
    </x:row>
    <x:row r="71">
      <x:c r="A71" s="6" t="n"/>
      <x:c r="B71" s="6" t="n"/>
      <x:c r="C71" s="6" t="n"/>
      <x:c r="D71" s="6" t="n"/>
      <x:c r="E71" s="6" t="n"/>
    </x:row>
    <x:row r="72">
      <x:c r="A72" s="6" t="n"/>
      <x:c r="B72" s="6" t="n"/>
      <x:c r="C72" s="6" t="n"/>
      <x:c r="D72" s="6" t="n"/>
      <x:c r="E72" s="6" t="n"/>
    </x:row>
    <x:row r="73">
      <x:c r="A73" s="6" t="n"/>
      <x:c r="B73" s="6" t="n"/>
      <x:c r="C73" s="6" t="n"/>
      <x:c r="D73" s="6" t="n"/>
      <x:c r="E73" s="6" t="n"/>
    </x:row>
    <x:row r="74">
      <x:c r="A74" s="6" t="n"/>
      <x:c r="B74" s="6" t="n"/>
      <x:c r="C74" s="6" t="n"/>
      <x:c r="D74" s="6" t="n"/>
      <x:c r="E74" s="6" t="n"/>
    </x:row>
    <x:row r="75">
      <x:c r="A75" s="6" t="n"/>
      <x:c r="B75" s="6" t="n"/>
      <x:c r="C75" s="6" t="n"/>
      <x:c r="D75" s="6" t="n"/>
      <x:c r="E75" s="6" t="n"/>
    </x:row>
    <x:row r="76">
      <x:c r="A76" s="6" t="n"/>
      <x:c r="B76" s="6" t="n"/>
      <x:c r="C76" s="6" t="n"/>
      <x:c r="D76" s="6" t="n"/>
      <x:c r="E76" s="6" t="n"/>
    </x:row>
    <x:row r="77">
      <x:c r="A77" s="6" t="n"/>
      <x:c r="B77" s="6" t="n"/>
      <x:c r="C77" s="6" t="n"/>
      <x:c r="D77" s="6" t="n"/>
      <x:c r="E77" s="6" t="n"/>
    </x:row>
    <x:row r="78">
      <x:c r="A78" s="6" t="n"/>
      <x:c r="B78" s="6" t="n"/>
      <x:c r="C78" s="6" t="n"/>
      <x:c r="D78" s="6" t="n"/>
      <x:c r="E78" s="6" t="n"/>
    </x:row>
    <x:row r="79">
      <x:c r="A79" s="6" t="n"/>
      <x:c r="B79" s="6" t="n"/>
      <x:c r="C79" s="6" t="n"/>
      <x:c r="D79" s="6" t="n"/>
      <x:c r="E79" s="6" t="n"/>
    </x:row>
    <x:row r="80">
      <x:c r="A80" s="6" t="n"/>
      <x:c r="B80" s="6" t="n"/>
      <x:c r="C80" s="6" t="n"/>
      <x:c r="D80" s="6" t="n"/>
      <x:c r="E80" s="6" t="n"/>
    </x:row>
    <x:row r="81">
      <x:c r="A81" s="6" t="n"/>
      <x:c r="B81" s="6" t="n"/>
      <x:c r="C81" s="6" t="n"/>
      <x:c r="D81" s="6" t="n"/>
      <x:c r="E81" s="6" t="n"/>
    </x:row>
    <x:row r="82">
      <x:c r="A82" s="6" t="n"/>
      <x:c r="B82" s="6" t="n"/>
      <x:c r="C82" s="6" t="n"/>
      <x:c r="D82" s="6" t="n"/>
      <x:c r="E82" s="6" t="n"/>
    </x:row>
    <x:row r="83">
      <x:c r="A83" s="6" t="n"/>
      <x:c r="B83" s="6" t="n"/>
      <x:c r="C83" s="6" t="n"/>
      <x:c r="D83" s="6" t="n"/>
      <x:c r="E83" s="6" t="n"/>
    </x:row>
    <x:row r="84">
      <x:c r="A84" s="6" t="n"/>
      <x:c r="B84" s="6" t="n"/>
      <x:c r="C84" s="6" t="n"/>
      <x:c r="D84" s="6" t="n"/>
      <x:c r="E84" s="6" t="n"/>
    </x:row>
    <x:row r="85">
      <x:c r="A85" s="6" t="n"/>
      <x:c r="B85" s="6" t="n"/>
      <x:c r="C85" s="6" t="n"/>
      <x:c r="D85" s="6" t="n"/>
      <x:c r="E85" s="6" t="n"/>
    </x:row>
    <x:row r="86">
      <x:c r="A86" s="6" t="n"/>
      <x:c r="B86" s="6" t="n"/>
      <x:c r="C86" s="6" t="n"/>
      <x:c r="D86" s="6" t="n"/>
      <x:c r="E86" s="6" t="n"/>
    </x:row>
    <x:row r="87">
      <x:c r="A87" s="6" t="n"/>
      <x:c r="B87" s="6" t="n"/>
      <x:c r="C87" s="6" t="n"/>
      <x:c r="D87" s="6" t="n"/>
      <x:c r="E87" s="6" t="n"/>
    </x:row>
    <x:row r="88">
      <x:c r="A88" s="6" t="n"/>
      <x:c r="B88" s="6" t="n"/>
      <x:c r="C88" s="6" t="n"/>
      <x:c r="D88" s="6" t="n"/>
      <x:c r="E88" s="6" t="n"/>
    </x:row>
    <x:row r="89">
      <x:c r="A89" s="6" t="n"/>
      <x:c r="B89" s="6" t="n"/>
      <x:c r="C89" s="6" t="n"/>
      <x:c r="D89" s="6" t="n"/>
      <x:c r="E89" s="6" t="n"/>
    </x:row>
    <x:row r="90">
      <x:c r="A90" s="6" t="n"/>
      <x:c r="B90" s="6" t="n"/>
      <x:c r="C90" s="6" t="n"/>
      <x:c r="D90" s="6" t="n"/>
      <x:c r="E90" s="6" t="n"/>
    </x:row>
    <x:row r="91">
      <x:c r="A91" s="6" t="n"/>
      <x:c r="B91" s="6" t="n"/>
      <x:c r="C91" s="6" t="n"/>
      <x:c r="D91" s="6" t="n"/>
      <x:c r="E91" s="6" t="n"/>
    </x:row>
    <x:row r="92">
      <x:c r="A92" s="6" t="n"/>
      <x:c r="B92" s="6" t="n"/>
      <x:c r="C92" s="6" t="n"/>
      <x:c r="D92" s="6" t="n"/>
      <x:c r="E92" s="6" t="n"/>
    </x:row>
    <x:row r="93">
      <x:c r="A93" s="6" t="n"/>
      <x:c r="B93" s="6" t="n"/>
      <x:c r="C93" s="6" t="n"/>
      <x:c r="D93" s="6" t="n"/>
      <x:c r="E93" s="6" t="n"/>
    </x:row>
    <x:row r="94">
      <x:c r="A94" s="6" t="n"/>
      <x:c r="B94" s="6" t="n"/>
      <x:c r="C94" s="6" t="n"/>
      <x:c r="D94" s="6" t="n"/>
      <x:c r="E94" s="6" t="n"/>
    </x:row>
    <x:row r="95">
      <x:c r="A95" s="6" t="n"/>
      <x:c r="B95" s="6" t="n"/>
      <x:c r="C95" s="6" t="n"/>
      <x:c r="D95" s="6" t="n"/>
      <x:c r="E95" s="6" t="n"/>
    </x:row>
    <x:row r="96">
      <x:c r="A96" s="6" t="n"/>
      <x:c r="B96" s="6" t="n"/>
      <x:c r="C96" s="6" t="n"/>
      <x:c r="D96" s="6" t="n"/>
      <x:c r="E96" s="6" t="n"/>
    </x:row>
    <x:row r="97">
      <x:c r="A97" s="6" t="n"/>
      <x:c r="B97" s="6" t="n"/>
      <x:c r="C97" s="6" t="n"/>
      <x:c r="D97" s="6" t="n"/>
      <x:c r="E97" s="6" t="n"/>
    </x:row>
    <x:row r="98">
      <x:c r="A98" s="6" t="n"/>
      <x:c r="B98" s="6" t="n"/>
      <x:c r="C98" s="6" t="n"/>
      <x:c r="D98" s="6" t="n"/>
      <x:c r="E98" s="6" t="n"/>
    </x:row>
    <x:row r="99">
      <x:c r="A99" s="6" t="n"/>
      <x:c r="B99" s="6" t="n"/>
      <x:c r="C99" s="6" t="n"/>
      <x:c r="D99" s="6" t="n"/>
      <x:c r="E99" s="6" t="n"/>
    </x:row>
    <x:row r="100">
      <x:c r="A100" s="6" t="n"/>
      <x:c r="B100" s="6" t="n"/>
      <x:c r="C100" s="6" t="n"/>
      <x:c r="D100" s="6" t="n"/>
      <x:c r="E100" s="6" t="n"/>
    </x:row>
    <x:row r="101">
      <x:c r="A101" s="6" t="n"/>
      <x:c r="B101" s="6" t="n"/>
      <x:c r="C101" s="6" t="n"/>
      <x:c r="D101" s="6" t="n"/>
      <x:c r="E101" s="6" t="n"/>
    </x:row>
    <x:row r="102">
      <x:c r="A102" s="6" t="n"/>
      <x:c r="B102" s="6" t="n"/>
      <x:c r="C102" s="6" t="n"/>
      <x:c r="D102" s="6" t="n"/>
      <x:c r="E102" s="6" t="n"/>
    </x:row>
    <x:row r="103">
      <x:c r="A103" s="6" t="n"/>
      <x:c r="B103" s="6" t="n"/>
      <x:c r="C103" s="6" t="n"/>
      <x:c r="D103" s="6" t="n"/>
      <x:c r="E103" s="6" t="n"/>
    </x:row>
    <x:row r="104">
      <x:c r="A104" s="6" t="n"/>
      <x:c r="B104" s="6" t="n"/>
      <x:c r="C104" s="6" t="n"/>
      <x:c r="D104" s="6" t="n"/>
      <x:c r="E104" s="6" t="n"/>
    </x:row>
    <x:row r="105">
      <x:c r="A105" s="6" t="n"/>
      <x:c r="B105" s="6" t="n"/>
      <x:c r="C105" s="6" t="n"/>
      <x:c r="D105" s="6" t="n"/>
      <x:c r="E105" s="6" t="n"/>
    </x:row>
    <x:row r="106">
      <x:c r="A106" s="6" t="n"/>
      <x:c r="B106" s="6" t="n"/>
      <x:c r="C106" s="6" t="n"/>
      <x:c r="D106" s="6" t="n"/>
      <x:c r="E106" s="6" t="n"/>
    </x:row>
    <x:row r="107">
      <x:c r="A107" s="6" t="n"/>
      <x:c r="B107" s="6" t="n"/>
      <x:c r="C107" s="6" t="n"/>
      <x:c r="D107" s="6" t="n"/>
      <x:c r="E107" s="6" t="n"/>
    </x:row>
    <x:row r="108">
      <x:c r="A108" s="6" t="n"/>
      <x:c r="B108" s="6" t="n"/>
      <x:c r="C108" s="6" t="n"/>
      <x:c r="D108" s="6" t="n"/>
      <x:c r="E108" s="6" t="n"/>
    </x:row>
    <x:row r="109">
      <x:c r="A109" s="6" t="n"/>
      <x:c r="B109" s="6" t="n"/>
      <x:c r="C109" s="6" t="n"/>
      <x:c r="D109" s="6" t="n"/>
      <x:c r="E109" s="6" t="n"/>
    </x:row>
    <x:row r="110">
      <x:c r="A110" s="6" t="n"/>
      <x:c r="B110" s="6" t="n"/>
      <x:c r="C110" s="6" t="n"/>
      <x:c r="D110" s="6" t="n"/>
      <x:c r="E110" s="6" t="n"/>
    </x:row>
    <x:row r="111">
      <x:c r="A111" s="6" t="n"/>
      <x:c r="B111" s="6" t="n"/>
      <x:c r="C111" s="6" t="n"/>
      <x:c r="D111" s="6" t="n"/>
      <x:c r="E111" s="6" t="n"/>
    </x:row>
    <x:row r="112">
      <x:c r="A112" s="6" t="n"/>
      <x:c r="B112" s="6" t="n"/>
      <x:c r="C112" s="6" t="n"/>
      <x:c r="D112" s="6" t="n"/>
      <x:c r="E112" s="6" t="n"/>
    </x:row>
    <x:row r="113">
      <x:c r="A113" s="6" t="n"/>
      <x:c r="B113" s="6" t="n"/>
      <x:c r="C113" s="6" t="n"/>
      <x:c r="D113" s="6" t="n"/>
      <x:c r="E113" s="6" t="n"/>
    </x:row>
    <x:row r="114">
      <x:c r="A114" s="6" t="n"/>
      <x:c r="B114" s="6" t="n"/>
      <x:c r="C114" s="6" t="n"/>
      <x:c r="D114" s="6" t="n"/>
      <x:c r="E114" s="6" t="n"/>
    </x:row>
    <x:row r="115">
      <x:c r="A115" s="6" t="n"/>
      <x:c r="B115" s="6" t="n"/>
      <x:c r="C115" s="6" t="n"/>
      <x:c r="D115" s="6" t="n"/>
      <x:c r="E115" s="6" t="n"/>
    </x:row>
    <x:row r="116">
      <x:c r="A116" s="6" t="n"/>
      <x:c r="B116" s="6" t="n"/>
      <x:c r="C116" s="6" t="n"/>
      <x:c r="D116" s="6" t="n"/>
      <x:c r="E116" s="6" t="n"/>
    </x:row>
    <x:row r="117">
      <x:c r="A117" s="6" t="n"/>
      <x:c r="B117" s="6" t="n"/>
      <x:c r="C117" s="6" t="n"/>
      <x:c r="D117" s="6" t="n"/>
      <x:c r="E117" s="6" t="n"/>
    </x:row>
    <x:row r="118">
      <x:c r="A118" s="6" t="n"/>
      <x:c r="B118" s="6" t="n"/>
      <x:c r="C118" s="6" t="n"/>
      <x:c r="D118" s="6" t="n"/>
      <x:c r="E118" s="6" t="n"/>
    </x:row>
    <x:row r="119">
      <x:c r="A119" s="6" t="n"/>
      <x:c r="B119" s="6" t="n"/>
      <x:c r="C119" s="6" t="n"/>
      <x:c r="D119" s="6" t="n"/>
      <x:c r="E119" s="6" t="n"/>
    </x:row>
    <x:row r="120">
      <x:c r="A120" s="6" t="n"/>
      <x:c r="B120" s="6" t="n"/>
      <x:c r="C120" s="6" t="n"/>
      <x:c r="D120" s="6" t="n"/>
      <x:c r="E120" s="6" t="n"/>
    </x:row>
    <x:row r="121">
      <x:c r="A121" s="6" t="n"/>
      <x:c r="B121" s="6" t="n"/>
      <x:c r="C121" s="6" t="n"/>
      <x:c r="D121" s="6" t="n"/>
      <x:c r="E121" s="6" t="n"/>
    </x:row>
    <x:row r="122">
      <x:c r="A122" s="6" t="n"/>
      <x:c r="B122" s="6" t="n"/>
      <x:c r="C122" s="6" t="n"/>
      <x:c r="D122" s="6" t="n"/>
      <x:c r="E122" s="6" t="n"/>
    </x:row>
    <x:row r="123">
      <x:c r="A123" s="6" t="n"/>
      <x:c r="B123" s="6" t="n"/>
      <x:c r="C123" s="6" t="n"/>
      <x:c r="D123" s="6" t="n"/>
      <x:c r="E123" s="6" t="n"/>
    </x:row>
    <x:row r="124">
      <x:c r="A124" s="6" t="n"/>
      <x:c r="B124" s="6" t="n"/>
      <x:c r="C124" s="6" t="n"/>
      <x:c r="D124" s="6" t="n"/>
      <x:c r="E124" s="6" t="n"/>
    </x:row>
    <x:row r="125">
      <x:c r="A125" s="6" t="n"/>
      <x:c r="B125" s="6" t="n"/>
      <x:c r="C125" s="6" t="n"/>
      <x:c r="D125" s="6" t="n"/>
      <x:c r="E125" s="6" t="n"/>
    </x:row>
    <x:row r="126">
      <x:c r="A126" s="6" t="n"/>
      <x:c r="B126" s="6" t="n"/>
      <x:c r="C126" s="6" t="n"/>
      <x:c r="D126" s="6" t="n"/>
      <x:c r="E126" s="6" t="n"/>
    </x:row>
    <x:row r="127">
      <x:c r="A127" s="6" t="n"/>
      <x:c r="B127" s="6" t="n"/>
      <x:c r="C127" s="6" t="n"/>
      <x:c r="D127" s="6" t="n"/>
      <x:c r="E127" s="6" t="n"/>
    </x:row>
    <x:row r="128">
      <x:c r="A128" s="6" t="n"/>
      <x:c r="B128" s="6" t="n"/>
      <x:c r="C128" s="6" t="n"/>
      <x:c r="D128" s="6" t="n"/>
      <x:c r="E128" s="6" t="n"/>
    </x:row>
    <x:row r="129">
      <x:c r="A129" s="6" t="n"/>
      <x:c r="B129" s="6" t="n"/>
      <x:c r="C129" s="6" t="n"/>
      <x:c r="D129" s="6" t="n"/>
      <x:c r="E129" s="6" t="n"/>
    </x:row>
    <x:row r="130">
      <x:c r="A130" s="6" t="n"/>
      <x:c r="B130" s="6" t="n"/>
      <x:c r="C130" s="6" t="n"/>
      <x:c r="D130" s="6" t="n"/>
      <x:c r="E130" s="6" t="n"/>
    </x:row>
    <x:row r="131">
      <x:c r="A131" s="6" t="n"/>
      <x:c r="B131" s="6" t="n"/>
      <x:c r="C131" s="6" t="n"/>
      <x:c r="D131" s="6" t="n"/>
      <x:c r="E131" s="6" t="n"/>
    </x:row>
    <x:row r="132">
      <x:c r="A132" s="6" t="n"/>
      <x:c r="B132" s="6" t="n"/>
      <x:c r="C132" s="6" t="n"/>
      <x:c r="D132" s="6" t="n"/>
      <x:c r="E132" s="6" t="n"/>
    </x:row>
    <x:row r="133">
      <x:c r="A133" s="6" t="n"/>
      <x:c r="B133" s="6" t="n"/>
      <x:c r="C133" s="6" t="n"/>
      <x:c r="D133" s="6" t="n"/>
      <x:c r="E133" s="6" t="n"/>
    </x:row>
    <x:row r="134">
      <x:c r="A134" s="6" t="n"/>
      <x:c r="B134" s="6" t="n"/>
      <x:c r="C134" s="6" t="n"/>
      <x:c r="D134" s="6" t="n"/>
      <x:c r="E134" s="6" t="n"/>
    </x:row>
    <x:row r="135">
      <x:c r="A135" s="6" t="n"/>
      <x:c r="B135" s="6" t="n"/>
      <x:c r="C135" s="6" t="n"/>
      <x:c r="D135" s="6" t="n"/>
      <x:c r="E135" s="6" t="n"/>
    </x:row>
    <x:row r="136">
      <x:c r="A136" s="6" t="n"/>
      <x:c r="B136" s="6" t="n"/>
      <x:c r="C136" s="6" t="n"/>
      <x:c r="D136" s="6" t="n"/>
      <x:c r="E136" s="6" t="n"/>
    </x:row>
    <x:row r="137">
      <x:c r="A137" s="6" t="n"/>
      <x:c r="B137" s="6" t="n"/>
      <x:c r="C137" s="6" t="n"/>
      <x:c r="D137" s="6" t="n"/>
      <x:c r="E137" s="6" t="n"/>
    </x:row>
    <x:row r="138">
      <x:c r="A138" s="6" t="n"/>
      <x:c r="B138" s="6" t="n"/>
      <x:c r="C138" s="6" t="n"/>
      <x:c r="D138" s="6" t="n"/>
      <x:c r="E138" s="6" t="n"/>
    </x:row>
    <x:row r="139">
      <x:c r="A139" s="6" t="n"/>
      <x:c r="B139" s="6" t="n"/>
      <x:c r="C139" s="6" t="n"/>
      <x:c r="D139" s="6" t="n"/>
      <x:c r="E139" s="6" t="n"/>
    </x:row>
    <x:row r="140">
      <x:c r="A140" s="6" t="n"/>
      <x:c r="B140" s="6" t="n"/>
      <x:c r="C140" s="6" t="n"/>
      <x:c r="D140" s="6" t="n"/>
      <x:c r="E140" s="6" t="n"/>
    </x:row>
    <x:row r="141">
      <x:c r="A141" s="6" t="n"/>
      <x:c r="B141" s="6" t="n"/>
      <x:c r="C141" s="6" t="n"/>
      <x:c r="D141" s="6" t="n"/>
      <x:c r="E141" s="6" t="n"/>
    </x:row>
    <x:row r="142">
      <x:c r="A142" s="6" t="n"/>
      <x:c r="B142" s="6" t="n"/>
      <x:c r="C142" s="6" t="n"/>
      <x:c r="D142" s="6" t="n"/>
      <x:c r="E142" s="6" t="n"/>
    </x:row>
    <x:row r="143">
      <x:c r="A143" s="6" t="n"/>
      <x:c r="B143" s="6" t="n"/>
      <x:c r="C143" s="6" t="n"/>
      <x:c r="D143" s="6" t="n"/>
      <x:c r="E143" s="6" t="n"/>
    </x:row>
    <x:row r="144">
      <x:c r="A144" s="6" t="n"/>
      <x:c r="B144" s="6" t="n"/>
      <x:c r="C144" s="6" t="n"/>
      <x:c r="D144" s="6" t="n"/>
      <x:c r="E144" s="6" t="n"/>
    </x:row>
    <x:row r="145">
      <x:c r="A145" s="6" t="n"/>
      <x:c r="B145" s="6" t="n"/>
      <x:c r="C145" s="6" t="n"/>
      <x:c r="D145" s="6" t="n"/>
      <x:c r="E145" s="6" t="n"/>
    </x:row>
    <x:row r="146">
      <x:c r="A146" s="6" t="n"/>
      <x:c r="B146" s="6" t="n"/>
      <x:c r="C146" s="6" t="n"/>
      <x:c r="D146" s="6" t="n"/>
      <x:c r="E146" s="6" t="n"/>
    </x:row>
    <x:row r="147">
      <x:c r="A147" s="6" t="n"/>
      <x:c r="B147" s="6" t="n"/>
      <x:c r="C147" s="6" t="n"/>
      <x:c r="D147" s="6" t="n"/>
      <x:c r="E147" s="6" t="n"/>
    </x:row>
    <x:row r="148">
      <x:c r="A148" s="6" t="n"/>
      <x:c r="B148" s="6" t="n"/>
      <x:c r="C148" s="6" t="n"/>
      <x:c r="D148" s="6" t="n"/>
      <x:c r="E148" s="6" t="n"/>
    </x:row>
    <x:row r="149">
      <x:c r="A149" s="6" t="n"/>
      <x:c r="B149" s="6" t="n"/>
      <x:c r="C149" s="6" t="n"/>
      <x:c r="D149" s="6" t="n"/>
      <x:c r="E149" s="6" t="n"/>
    </x:row>
    <x:row r="150">
      <x:c r="A150" s="6" t="n"/>
      <x:c r="B150" s="6" t="n"/>
      <x:c r="C150" s="6" t="n"/>
      <x:c r="D150" s="6" t="n"/>
      <x:c r="E150" s="6" t="n"/>
    </x:row>
    <x:row r="151">
      <x:c r="A151" s="6" t="n"/>
      <x:c r="B151" s="6" t="n"/>
      <x:c r="C151" s="6" t="n"/>
      <x:c r="D151" s="6" t="n"/>
      <x:c r="E151" s="6" t="n"/>
    </x:row>
    <x:row r="152">
      <x:c r="A152" s="6" t="n"/>
      <x:c r="B152" s="6" t="n"/>
      <x:c r="C152" s="6" t="n"/>
      <x:c r="D152" s="6" t="n"/>
      <x:c r="E152" s="6" t="n"/>
    </x:row>
    <x:row r="153">
      <x:c r="A153" s="6" t="n"/>
      <x:c r="B153" s="6" t="n"/>
      <x:c r="C153" s="6" t="n"/>
      <x:c r="D153" s="6" t="n"/>
      <x:c r="E153" s="6" t="n"/>
    </x:row>
    <x:row r="154">
      <x:c r="A154" s="6" t="n"/>
      <x:c r="B154" s="6" t="n"/>
      <x:c r="C154" s="6" t="n"/>
      <x:c r="D154" s="6" t="n"/>
      <x:c r="E154" s="6" t="n"/>
    </x:row>
    <x:row r="155">
      <x:c r="A155" s="6" t="n"/>
      <x:c r="B155" s="6" t="n"/>
      <x:c r="C155" s="6" t="n"/>
      <x:c r="D155" s="6" t="n"/>
      <x:c r="E155" s="6" t="n"/>
    </x:row>
    <x:row r="156">
      <x:c r="A156" s="6" t="n"/>
      <x:c r="B156" s="6" t="n"/>
      <x:c r="C156" s="6" t="n"/>
      <x:c r="D156" s="6" t="n"/>
      <x:c r="E156" s="6" t="n"/>
    </x:row>
    <x:row r="157">
      <x:c r="A157" s="6" t="n"/>
      <x:c r="B157" s="6" t="n"/>
      <x:c r="C157" s="6" t="n"/>
      <x:c r="D157" s="6" t="n"/>
      <x:c r="E157" s="6" t="n"/>
    </x:row>
    <x:row r="158">
      <x:c r="A158" s="6" t="n"/>
      <x:c r="B158" s="6" t="n"/>
      <x:c r="C158" s="6" t="n"/>
      <x:c r="D158" s="6" t="n"/>
      <x:c r="E158" s="6" t="n"/>
    </x:row>
    <x:row r="159">
      <x:c r="A159" s="6" t="n"/>
      <x:c r="B159" s="6" t="n"/>
      <x:c r="C159" s="6" t="n"/>
      <x:c r="D159" s="6" t="n"/>
      <x:c r="E159" s="6" t="n"/>
    </x:row>
    <x:row r="160">
      <x:c r="A160" s="6" t="n"/>
      <x:c r="B160" s="6" t="n"/>
      <x:c r="C160" s="6" t="n"/>
      <x:c r="D160" s="6" t="n"/>
      <x:c r="E160" s="6" t="n"/>
    </x:row>
    <x:row r="161">
      <x:c r="A161" s="6" t="n"/>
      <x:c r="B161" s="6" t="n"/>
      <x:c r="C161" s="6" t="n"/>
      <x:c r="D161" s="6" t="n"/>
      <x:c r="E161" s="6" t="n"/>
    </x:row>
    <x:row r="162">
      <x:c r="A162" s="6" t="n"/>
      <x:c r="B162" s="6" t="n"/>
      <x:c r="C162" s="6" t="n"/>
      <x:c r="D162" s="6" t="n"/>
      <x:c r="E162" s="6" t="n"/>
    </x:row>
    <x:row r="163">
      <x:c r="A163" s="6" t="n"/>
      <x:c r="B163" s="6" t="n"/>
      <x:c r="C163" s="6" t="n"/>
      <x:c r="D163" s="6" t="n"/>
      <x:c r="E163" s="6" t="n"/>
    </x:row>
    <x:row r="164">
      <x:c r="A164" s="6" t="n"/>
      <x:c r="B164" s="6" t="n"/>
      <x:c r="C164" s="6" t="n"/>
      <x:c r="D164" s="6" t="n"/>
      <x:c r="E164" s="6" t="n"/>
    </x:row>
    <x:row r="165">
      <x:c r="A165" s="6" t="n"/>
      <x:c r="B165" s="6" t="n"/>
      <x:c r="C165" s="6" t="n"/>
      <x:c r="D165" s="6" t="n"/>
      <x:c r="E165" s="6" t="n"/>
    </x:row>
    <x:row r="166">
      <x:c r="A166" s="6" t="n"/>
      <x:c r="B166" s="6" t="n"/>
      <x:c r="C166" s="6" t="n"/>
      <x:c r="D166" s="6" t="n"/>
      <x:c r="E166" s="6" t="n"/>
    </x:row>
    <x:row r="167">
      <x:c r="A167" s="6" t="n"/>
      <x:c r="B167" s="6" t="n"/>
      <x:c r="C167" s="6" t="n"/>
      <x:c r="D167" s="6" t="n"/>
      <x:c r="E167" s="6" t="n"/>
    </x:row>
    <x:row r="168">
      <x:c r="A168" s="6" t="n"/>
      <x:c r="B168" s="6" t="n"/>
      <x:c r="C168" s="6" t="n"/>
      <x:c r="D168" s="6" t="n"/>
      <x:c r="E168" s="6" t="n"/>
    </x:row>
    <x:row r="169">
      <x:c r="A169" s="6" t="n"/>
      <x:c r="B169" s="6" t="n"/>
      <x:c r="C169" s="6" t="n"/>
      <x:c r="D169" s="6" t="n"/>
      <x:c r="E169" s="6" t="n"/>
    </x:row>
    <x:row r="170">
      <x:c r="A170" s="6" t="n"/>
      <x:c r="B170" s="6" t="n"/>
      <x:c r="C170" s="6" t="n"/>
      <x:c r="D170" s="6" t="n"/>
      <x:c r="E170" s="6" t="n"/>
    </x:row>
    <x:row r="171">
      <x:c r="A171" s="6" t="n"/>
      <x:c r="B171" s="6" t="n"/>
      <x:c r="C171" s="6" t="n"/>
      <x:c r="D171" s="6" t="n"/>
      <x:c r="E171" s="6" t="n"/>
    </x:row>
    <x:row r="172">
      <x:c r="A172" s="6" t="n"/>
      <x:c r="B172" s="6" t="n"/>
      <x:c r="C172" s="6" t="n"/>
      <x:c r="D172" s="6" t="n"/>
      <x:c r="E172" s="6" t="n"/>
    </x:row>
    <x:row r="173">
      <x:c r="A173" s="6" t="n"/>
      <x:c r="B173" s="6" t="n"/>
      <x:c r="C173" s="6" t="n"/>
      <x:c r="D173" s="6" t="n"/>
      <x:c r="E173" s="6" t="n"/>
    </x:row>
    <x:row r="174">
      <x:c r="A174" s="6" t="n"/>
      <x:c r="B174" s="6" t="n"/>
      <x:c r="C174" s="6" t="n"/>
      <x:c r="D174" s="6" t="n"/>
      <x:c r="E174" s="6" t="n"/>
    </x:row>
    <x:row r="175">
      <x:c r="A175" s="6" t="n"/>
      <x:c r="B175" s="6" t="n"/>
      <x:c r="C175" s="6" t="n"/>
      <x:c r="D175" s="6" t="n"/>
      <x:c r="E175" s="6" t="n"/>
    </x:row>
    <x:row r="176">
      <x:c r="A176" s="6" t="n"/>
      <x:c r="B176" s="6" t="n"/>
      <x:c r="C176" s="6" t="n"/>
      <x:c r="D176" s="6" t="n"/>
      <x:c r="E176" s="6" t="n"/>
    </x:row>
    <x:row r="177">
      <x:c r="A177" s="6" t="n"/>
      <x:c r="B177" s="6" t="n"/>
      <x:c r="C177" s="6" t="n"/>
      <x:c r="D177" s="6" t="n"/>
      <x:c r="E177" s="6" t="n"/>
    </x:row>
    <x:row r="178">
      <x:c r="A178" s="6" t="n"/>
      <x:c r="B178" s="6" t="n"/>
      <x:c r="C178" s="6" t="n"/>
      <x:c r="D178" s="6" t="n"/>
      <x:c r="E178" s="6" t="n"/>
    </x:row>
    <x:row r="179">
      <x:c r="A179" s="6" t="n"/>
      <x:c r="B179" s="6" t="n"/>
      <x:c r="C179" s="6" t="n"/>
      <x:c r="D179" s="6" t="n"/>
      <x:c r="E179" s="6" t="n"/>
    </x:row>
    <x:row r="180">
      <x:c r="A180" s="6" t="n"/>
      <x:c r="B180" s="6" t="n"/>
      <x:c r="C180" s="6" t="n"/>
      <x:c r="D180" s="6" t="n"/>
      <x:c r="E180" s="6" t="n"/>
    </x:row>
    <x:row r="181">
      <x:c r="A181" s="6" t="n"/>
      <x:c r="B181" s="6" t="n"/>
      <x:c r="C181" s="6" t="n"/>
      <x:c r="D181" s="6" t="n"/>
      <x:c r="E181" s="6" t="n"/>
    </x:row>
    <x:row r="182">
      <x:c r="A182" s="6" t="n"/>
      <x:c r="B182" s="6" t="n"/>
      <x:c r="C182" s="6" t="n"/>
      <x:c r="D182" s="6" t="n"/>
      <x:c r="E182" s="6" t="n"/>
    </x:row>
    <x:row r="183">
      <x:c r="A183" s="6" t="n"/>
      <x:c r="B183" s="6" t="n"/>
      <x:c r="C183" s="6" t="n"/>
      <x:c r="D183" s="6" t="n"/>
      <x:c r="E183" s="6" t="n"/>
    </x:row>
    <x:row r="184">
      <x:c r="A184" s="6" t="n"/>
      <x:c r="B184" s="6" t="n"/>
      <x:c r="C184" s="6" t="n"/>
      <x:c r="D184" s="6" t="n"/>
      <x:c r="E184" s="6" t="n"/>
    </x:row>
    <x:row r="185">
      <x:c r="A185" s="6" t="n"/>
      <x:c r="B185" s="6" t="n"/>
      <x:c r="C185" s="6" t="n"/>
      <x:c r="D185" s="6" t="n"/>
      <x:c r="E185" s="6" t="n"/>
    </x:row>
    <x:row r="186">
      <x:c r="A186" s="6" t="n"/>
      <x:c r="B186" s="6" t="n"/>
      <x:c r="C186" s="6" t="n"/>
      <x:c r="D186" s="6" t="n"/>
      <x:c r="E186" s="6" t="n"/>
    </x:row>
    <x:row r="187">
      <x:c r="A187" s="6" t="n"/>
      <x:c r="B187" s="6" t="n"/>
      <x:c r="C187" s="6" t="n"/>
      <x:c r="D187" s="6" t="n"/>
      <x:c r="E187" s="6" t="n"/>
    </x:row>
    <x:row r="188">
      <x:c r="A188" s="6" t="n"/>
      <x:c r="B188" s="6" t="n"/>
      <x:c r="C188" s="6" t="n"/>
      <x:c r="D188" s="6" t="n"/>
      <x:c r="E188" s="6" t="n"/>
    </x:row>
    <x:row r="189">
      <x:c r="A189" s="6" t="n"/>
      <x:c r="B189" s="6" t="n"/>
      <x:c r="C189" s="6" t="n"/>
      <x:c r="D189" s="6" t="n"/>
      <x:c r="E189" s="6" t="n"/>
    </x:row>
    <x:row r="190">
      <x:c r="A190" s="6" t="n"/>
      <x:c r="B190" s="6" t="n"/>
      <x:c r="C190" s="6" t="n"/>
      <x:c r="D190" s="6" t="n"/>
      <x:c r="E190" s="6" t="n"/>
    </x:row>
    <x:row r="191">
      <x:c r="A191" s="6" t="n"/>
      <x:c r="B191" s="6" t="n"/>
      <x:c r="C191" s="6" t="n"/>
      <x:c r="D191" s="6" t="n"/>
      <x:c r="E191" s="6" t="n"/>
    </x:row>
    <x:row r="192">
      <x:c r="A192" s="6" t="n"/>
      <x:c r="B192" s="6" t="n"/>
      <x:c r="C192" s="6" t="n"/>
      <x:c r="D192" s="6" t="n"/>
      <x:c r="E192" s="6" t="n"/>
    </x:row>
    <x:row r="193">
      <x:c r="A193" s="6" t="n"/>
      <x:c r="B193" s="6" t="n"/>
      <x:c r="C193" s="6" t="n"/>
      <x:c r="D193" s="6" t="n"/>
      <x:c r="E193" s="6" t="n"/>
    </x:row>
    <x:row r="194">
      <x:c r="A194" s="6" t="n"/>
      <x:c r="B194" s="6" t="n"/>
      <x:c r="C194" s="6" t="n"/>
      <x:c r="D194" s="6" t="n"/>
      <x:c r="E194" s="6" t="n"/>
    </x:row>
    <x:row r="195">
      <x:c r="A195" s="6" t="n"/>
      <x:c r="B195" s="6" t="n"/>
      <x:c r="C195" s="6" t="n"/>
      <x:c r="D195" s="6" t="n"/>
      <x:c r="E195" s="6" t="n"/>
    </x:row>
    <x:row r="196">
      <x:c r="A196" s="6" t="n"/>
      <x:c r="B196" s="6" t="n"/>
      <x:c r="C196" s="6" t="n"/>
      <x:c r="D196" s="6" t="n"/>
      <x:c r="E196" s="6" t="n"/>
    </x:row>
    <x:row r="197">
      <x:c r="A197" s="6" t="n"/>
      <x:c r="B197" s="6" t="n"/>
      <x:c r="C197" s="6" t="n"/>
      <x:c r="D197" s="6" t="n"/>
      <x:c r="E197" s="6" t="n"/>
    </x:row>
    <x:row r="198">
      <x:c r="A198" s="6" t="n"/>
      <x:c r="B198" s="6" t="n"/>
      <x:c r="C198" s="6" t="n"/>
      <x:c r="D198" s="6" t="n"/>
      <x:c r="E198" s="6" t="n"/>
    </x:row>
    <x:row r="199">
      <x:c r="A199" s="6" t="n"/>
      <x:c r="B199" s="6" t="n"/>
      <x:c r="C199" s="6" t="n"/>
      <x:c r="D199" s="6" t="n"/>
      <x:c r="E199" s="6" t="n"/>
    </x:row>
    <x:row r="200">
      <x:c r="A200" s="6" t="n"/>
      <x:c r="B200" s="6" t="n"/>
      <x:c r="C200" s="6" t="n"/>
      <x:c r="D200" s="6" t="n"/>
      <x:c r="E200" s="6" t="n"/>
    </x:row>
    <x:row r="201">
      <x:c r="A201" t="inlineStr">
        <x:is>
          <x:t xml:space="preserve">E003</x:t>
        </x:is>
      </x:c>
      <x:c r="B201" t="inlineStr">
        <x:is>
          <x:t xml:space="preserve">Vacation</x:t>
        </x:is>
      </x:c>
      <x:c r="C201" t="inlineStr">
        <x:is>
          <x:t xml:space="preserve">2026-03-05</x:t>
        </x:is>
      </x:c>
      <x:c r="D201" t="inlineStr">
        <x:is>
          <x:t xml:space="preserve">2026-03-07</x:t>
        </x:is>
      </x:c>
      <x:c r="E201" t="inlineStr">
        <x:is>
          <x:t xml:space="preserve">Beispiel: Urlaub Do-Sa</x:t>
        </x:is>
      </x:c>
    </x:row>
    <x:row r="202">
      <x:c r="A202" t="inlineStr">
        <x:is>
          <x:t xml:space="preserve">E010</x:t>
        </x:is>
      </x:c>
      <x:c r="B202" t="inlineStr">
        <x:is>
          <x:t xml:space="preserve">Sick</x:t>
        </x:is>
      </x:c>
      <x:c r="C202" t="inlineStr">
        <x:is>
          <x:t xml:space="preserve">2026-03-02</x:t>
        </x:is>
      </x:c>
      <x:c r="D202" t="inlineStr">
        <x:is>
          <x:t xml:space="preserve">2026-03-02</x:t>
        </x:is>
      </x:c>
      <x:c r="E202" t="inlineStr">
        <x:is>
          <x:t xml:space="preserve">Beispiel: kurzfristig krank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8" customWidth="1"/>
    <x:col min="3" max="3" width="12" customWidth="1"/>
    <x:col min="4" max="4" width="70" customWidth="1"/>
  </x:cols>
  <x:sheetData>
    <x:row r="1">
      <x:c r="A1" s="5" t="inlineStr">
        <x:is>
          <x:t xml:space="preserve">Date</x:t>
        </x:is>
      </x:c>
      <x:c r="B1" s="5" t="inlineStr">
        <x:is>
          <x:t xml:space="preserve">ShiftTemplateID</x:t>
        </x:is>
      </x:c>
      <x:c r="C1" s="5" t="inlineStr">
        <x:is>
          <x:t xml:space="preserve">EmployeeID</x:t>
        </x:is>
      </x:c>
      <x:c r="D1" s="5" t="inlineStr">
        <x:is>
          <x:t xml:space="preserve">Notes</x:t>
        </x:is>
      </x:c>
    </x:row>
    <x:row r="2">
      <x:c r="A2" s="7" t="inlineStr">
        <x:is>
          <x:t xml:space="preserve">2026-03-02</x:t>
        </x:is>
      </x:c>
      <x:c r="B2" s="8" t="inlineStr">
        <x:is>
          <x:t xml:space="preserve">FRONT_EARLY_Mon</x:t>
        </x:is>
      </x:c>
      <x:c r="C2" s="8" t="inlineStr">
        <x:is>
          <x:t xml:space="preserve">E002</x:t>
        </x:is>
      </x:c>
      <x:c r="D2" s="8" t="n"/>
    </x:row>
    <x:row r="3">
      <x:c r="A3" s="7" t="inlineStr">
        <x:is>
          <x:t xml:space="preserve">2026-03-02</x:t>
        </x:is>
      </x:c>
      <x:c r="B3" s="8" t="inlineStr">
        <x:is>
          <x:t xml:space="preserve">FRONT_EARLY_Mon</x:t>
        </x:is>
      </x:c>
      <x:c r="C3" s="8" t="inlineStr">
        <x:is>
          <x:t xml:space="preserve">E006</x:t>
        </x:is>
      </x:c>
      <x:c r="D3" s="8" t="n"/>
    </x:row>
    <x:row r="4">
      <x:c r="A4" s="7" t="inlineStr">
        <x:is>
          <x:t xml:space="preserve">2026-03-02</x:t>
        </x:is>
      </x:c>
      <x:c r="B4" s="8" t="inlineStr">
        <x:is>
          <x:t xml:space="preserve">BACK_NIGHT_Mon</x:t>
        </x:is>
      </x:c>
      <x:c r="C4" s="8" t="inlineStr">
        <x:is>
          <x:t xml:space="preserve">E008</x:t>
        </x:is>
      </x:c>
      <x:c r="D4" s="8" t="n"/>
    </x:row>
    <x:row r="5">
      <x:c r="A5" s="7" t="n"/>
      <x:c r="B5" s="8" t="n"/>
      <x:c r="C5" s="8" t="n"/>
      <x:c r="D5" s="8" t="n"/>
    </x:row>
    <x:row r="6">
      <x:c r="A6" s="7" t="n"/>
      <x:c r="B6" s="8" t="n"/>
      <x:c r="C6" s="8" t="n"/>
      <x:c r="D6" s="8" t="n"/>
    </x:row>
    <x:row r="7">
      <x:c r="A7" s="7" t="n"/>
      <x:c r="B7" s="8" t="n"/>
      <x:c r="C7" s="8" t="n"/>
      <x:c r="D7" s="8" t="n"/>
    </x:row>
    <x:row r="8">
      <x:c r="A8" s="7" t="n"/>
      <x:c r="B8" s="8" t="n"/>
      <x:c r="C8" s="8" t="n"/>
      <x:c r="D8" s="8" t="n"/>
    </x:row>
    <x:row r="9">
      <x:c r="A9" s="7" t="n"/>
      <x:c r="B9" s="8" t="n"/>
      <x:c r="C9" s="8" t="n"/>
      <x:c r="D9" s="8" t="n"/>
    </x:row>
    <x:row r="10">
      <x:c r="A10" s="7" t="n"/>
      <x:c r="B10" s="8" t="n"/>
      <x:c r="C10" s="8" t="n"/>
      <x:c r="D10" s="8" t="n"/>
    </x:row>
    <x:row r="11">
      <x:c r="A11" s="7" t="n"/>
      <x:c r="B11" s="8" t="n"/>
      <x:c r="C11" s="8" t="n"/>
      <x:c r="D11" s="8" t="n"/>
    </x:row>
    <x:row r="12">
      <x:c r="A12" s="7" t="n"/>
      <x:c r="B12" s="8" t="n"/>
      <x:c r="C12" s="8" t="n"/>
      <x:c r="D12" s="8" t="n"/>
    </x:row>
    <x:row r="13">
      <x:c r="A13" s="7" t="n"/>
      <x:c r="B13" s="8" t="n"/>
      <x:c r="C13" s="8" t="n"/>
      <x:c r="D13" s="8" t="n"/>
    </x:row>
    <x:row r="14">
      <x:c r="A14" s="7" t="n"/>
      <x:c r="B14" s="8" t="n"/>
      <x:c r="C14" s="8" t="n"/>
      <x:c r="D14" s="8" t="n"/>
    </x:row>
    <x:row r="15">
      <x:c r="A15" s="7" t="n"/>
      <x:c r="B15" s="8" t="n"/>
      <x:c r="C15" s="8" t="n"/>
      <x:c r="D15" s="8" t="n"/>
    </x:row>
    <x:row r="16">
      <x:c r="A16" s="7" t="n"/>
      <x:c r="B16" s="8" t="n"/>
      <x:c r="C16" s="8" t="n"/>
      <x:c r="D16" s="8" t="n"/>
    </x:row>
    <x:row r="17">
      <x:c r="A17" s="7" t="n"/>
      <x:c r="B17" s="8" t="n"/>
      <x:c r="C17" s="8" t="n"/>
      <x:c r="D17" s="8" t="n"/>
    </x:row>
    <x:row r="18">
      <x:c r="A18" s="7" t="n"/>
      <x:c r="B18" s="8" t="n"/>
      <x:c r="C18" s="8" t="n"/>
      <x:c r="D18" s="8" t="n"/>
    </x:row>
    <x:row r="19">
      <x:c r="A19" s="7" t="n"/>
      <x:c r="B19" s="8" t="n"/>
      <x:c r="C19" s="8" t="n"/>
      <x:c r="D19" s="8" t="n"/>
    </x:row>
    <x:row r="20">
      <x:c r="A20" s="7" t="n"/>
      <x:c r="B20" s="8" t="n"/>
      <x:c r="C20" s="8" t="n"/>
      <x:c r="D20" s="8" t="n"/>
    </x:row>
    <x:row r="21">
      <x:c r="A21" s="7" t="n"/>
      <x:c r="B21" s="8" t="n"/>
      <x:c r="C21" s="8" t="n"/>
      <x:c r="D21" s="8" t="n"/>
    </x:row>
    <x:row r="22">
      <x:c r="A22" s="7" t="n"/>
      <x:c r="B22" s="8" t="n"/>
      <x:c r="C22" s="8" t="n"/>
      <x:c r="D22" s="8" t="n"/>
    </x:row>
    <x:row r="23">
      <x:c r="A23" s="7" t="n"/>
      <x:c r="B23" s="8" t="n"/>
      <x:c r="C23" s="8" t="n"/>
      <x:c r="D23" s="8" t="n"/>
    </x:row>
    <x:row r="24">
      <x:c r="A24" s="7" t="n"/>
      <x:c r="B24" s="8" t="n"/>
      <x:c r="C24" s="8" t="n"/>
      <x:c r="D24" s="8" t="n"/>
    </x:row>
    <x:row r="25">
      <x:c r="A25" s="7" t="n"/>
      <x:c r="B25" s="8" t="n"/>
      <x:c r="C25" s="8" t="n"/>
      <x:c r="D25" s="8" t="n"/>
    </x:row>
    <x:row r="26">
      <x:c r="A26" s="7" t="n"/>
      <x:c r="B26" s="8" t="n"/>
      <x:c r="C26" s="8" t="n"/>
      <x:c r="D26" s="8" t="n"/>
    </x:row>
    <x:row r="27">
      <x:c r="A27" s="7" t="n"/>
      <x:c r="B27" s="8" t="n"/>
      <x:c r="C27" s="8" t="n"/>
      <x:c r="D27" s="8" t="n"/>
    </x:row>
    <x:row r="28">
      <x:c r="A28" s="7" t="n"/>
      <x:c r="B28" s="8" t="n"/>
      <x:c r="C28" s="8" t="n"/>
      <x:c r="D28" s="8" t="n"/>
    </x:row>
    <x:row r="29">
      <x:c r="A29" s="7" t="n"/>
      <x:c r="B29" s="8" t="n"/>
      <x:c r="C29" s="8" t="n"/>
      <x:c r="D29" s="8" t="n"/>
    </x:row>
    <x:row r="30">
      <x:c r="A30" s="7" t="n"/>
      <x:c r="B30" s="8" t="n"/>
      <x:c r="C30" s="8" t="n"/>
      <x:c r="D30" s="8" t="n"/>
    </x:row>
    <x:row r="31">
      <x:c r="A31" s="7" t="n"/>
      <x:c r="B31" s="8" t="n"/>
      <x:c r="C31" s="8" t="n"/>
      <x:c r="D31" s="8" t="n"/>
    </x:row>
    <x:row r="32">
      <x:c r="A32" s="7" t="n"/>
      <x:c r="B32" s="8" t="n"/>
      <x:c r="C32" s="8" t="n"/>
      <x:c r="D32" s="8" t="n"/>
    </x:row>
    <x:row r="33">
      <x:c r="A33" s="7" t="n"/>
      <x:c r="B33" s="8" t="n"/>
      <x:c r="C33" s="8" t="n"/>
      <x:c r="D33" s="8" t="n"/>
    </x:row>
    <x:row r="34">
      <x:c r="A34" s="7" t="n"/>
      <x:c r="B34" s="8" t="n"/>
      <x:c r="C34" s="8" t="n"/>
      <x:c r="D34" s="8" t="n"/>
    </x:row>
    <x:row r="35">
      <x:c r="A35" s="7" t="n"/>
      <x:c r="B35" s="8" t="n"/>
      <x:c r="C35" s="8" t="n"/>
      <x:c r="D35" s="8" t="n"/>
    </x:row>
    <x:row r="36">
      <x:c r="A36" s="7" t="n"/>
      <x:c r="B36" s="8" t="n"/>
      <x:c r="C36" s="8" t="n"/>
      <x:c r="D36" s="8" t="n"/>
    </x:row>
    <x:row r="37">
      <x:c r="A37" s="7" t="n"/>
      <x:c r="B37" s="8" t="n"/>
      <x:c r="C37" s="8" t="n"/>
      <x:c r="D37" s="8" t="n"/>
    </x:row>
    <x:row r="38">
      <x:c r="A38" s="7" t="n"/>
      <x:c r="B38" s="8" t="n"/>
      <x:c r="C38" s="8" t="n"/>
      <x:c r="D38" s="8" t="n"/>
    </x:row>
    <x:row r="39">
      <x:c r="A39" s="7" t="n"/>
      <x:c r="B39" s="8" t="n"/>
      <x:c r="C39" s="8" t="n"/>
      <x:c r="D39" s="8" t="n"/>
    </x:row>
    <x:row r="40">
      <x:c r="A40" s="7" t="n"/>
      <x:c r="B40" s="8" t="n"/>
      <x:c r="C40" s="8" t="n"/>
      <x:c r="D40" s="8" t="n"/>
    </x:row>
    <x:row r="41">
      <x:c r="A41" s="7" t="n"/>
      <x:c r="B41" s="8" t="n"/>
      <x:c r="C41" s="8" t="n"/>
      <x:c r="D41" s="8" t="n"/>
    </x:row>
    <x:row r="42">
      <x:c r="A42" s="7" t="n"/>
      <x:c r="B42" s="8" t="n"/>
      <x:c r="C42" s="8" t="n"/>
      <x:c r="D42" s="8" t="n"/>
    </x:row>
    <x:row r="43">
      <x:c r="A43" s="7" t="n"/>
      <x:c r="B43" s="8" t="n"/>
      <x:c r="C43" s="8" t="n"/>
      <x:c r="D43" s="8" t="n"/>
    </x:row>
    <x:row r="44">
      <x:c r="A44" s="7" t="n"/>
      <x:c r="B44" s="8" t="n"/>
      <x:c r="C44" s="8" t="n"/>
      <x:c r="D44" s="8" t="n"/>
    </x:row>
    <x:row r="45">
      <x:c r="A45" s="7" t="n"/>
      <x:c r="B45" s="8" t="n"/>
      <x:c r="C45" s="8" t="n"/>
      <x:c r="D45" s="8" t="n"/>
    </x:row>
    <x:row r="46">
      <x:c r="A46" s="7" t="n"/>
      <x:c r="B46" s="8" t="n"/>
      <x:c r="C46" s="8" t="n"/>
      <x:c r="D46" s="8" t="n"/>
    </x:row>
    <x:row r="47">
      <x:c r="A47" s="7" t="n"/>
      <x:c r="B47" s="8" t="n"/>
      <x:c r="C47" s="8" t="n"/>
      <x:c r="D47" s="8" t="n"/>
    </x:row>
    <x:row r="48">
      <x:c r="A48" s="7" t="n"/>
      <x:c r="B48" s="8" t="n"/>
      <x:c r="C48" s="8" t="n"/>
      <x:c r="D48" s="8" t="n"/>
    </x:row>
    <x:row r="49">
      <x:c r="A49" s="7" t="n"/>
      <x:c r="B49" s="8" t="n"/>
      <x:c r="C49" s="8" t="n"/>
      <x:c r="D49" s="8" t="n"/>
    </x:row>
    <x:row r="50">
      <x:c r="A50" s="7" t="n"/>
      <x:c r="B50" s="8" t="n"/>
      <x:c r="C50" s="8" t="n"/>
      <x:c r="D50" s="8" t="n"/>
    </x:row>
    <x:row r="51">
      <x:c r="A51" s="7" t="n"/>
      <x:c r="B51" s="8" t="n"/>
      <x:c r="C51" s="8" t="n"/>
      <x:c r="D51" s="8" t="n"/>
    </x:row>
    <x:row r="52">
      <x:c r="A52" s="7" t="n"/>
      <x:c r="B52" s="8" t="n"/>
      <x:c r="C52" s="8" t="n"/>
      <x:c r="D52" s="8" t="n"/>
    </x:row>
    <x:row r="53">
      <x:c r="A53" s="7" t="n"/>
      <x:c r="B53" s="8" t="n"/>
      <x:c r="C53" s="8" t="n"/>
      <x:c r="D53" s="8" t="n"/>
    </x:row>
    <x:row r="54">
      <x:c r="A54" s="7" t="n"/>
      <x:c r="B54" s="8" t="n"/>
      <x:c r="C54" s="8" t="n"/>
      <x:c r="D54" s="8" t="n"/>
    </x:row>
    <x:row r="55">
      <x:c r="A55" s="7" t="n"/>
      <x:c r="B55" s="8" t="n"/>
      <x:c r="C55" s="8" t="n"/>
      <x:c r="D55" s="8" t="n"/>
    </x:row>
    <x:row r="56">
      <x:c r="A56" s="7" t="n"/>
      <x:c r="B56" s="8" t="n"/>
      <x:c r="C56" s="8" t="n"/>
      <x:c r="D56" s="8" t="n"/>
    </x:row>
    <x:row r="57">
      <x:c r="A57" s="7" t="n"/>
      <x:c r="B57" s="8" t="n"/>
      <x:c r="C57" s="8" t="n"/>
      <x:c r="D57" s="8" t="n"/>
    </x:row>
    <x:row r="58">
      <x:c r="A58" s="7" t="n"/>
      <x:c r="B58" s="8" t="n"/>
      <x:c r="C58" s="8" t="n"/>
      <x:c r="D58" s="8" t="n"/>
    </x:row>
    <x:row r="59">
      <x:c r="A59" s="7" t="n"/>
      <x:c r="B59" s="8" t="n"/>
      <x:c r="C59" s="8" t="n"/>
      <x:c r="D59" s="8" t="n"/>
    </x:row>
    <x:row r="60">
      <x:c r="A60" s="7" t="n"/>
      <x:c r="B60" s="8" t="n"/>
      <x:c r="C60" s="8" t="n"/>
      <x:c r="D60" s="8" t="n"/>
    </x:row>
    <x:row r="61">
      <x:c r="A61" s="7" t="n"/>
      <x:c r="B61" s="8" t="n"/>
      <x:c r="C61" s="8" t="n"/>
      <x:c r="D61" s="8" t="n"/>
    </x:row>
    <x:row r="62">
      <x:c r="A62" s="7" t="n"/>
      <x:c r="B62" s="8" t="n"/>
      <x:c r="C62" s="8" t="n"/>
      <x:c r="D62" s="8" t="n"/>
    </x:row>
    <x:row r="63">
      <x:c r="A63" s="7" t="n"/>
      <x:c r="B63" s="8" t="n"/>
      <x:c r="C63" s="8" t="n"/>
      <x:c r="D63" s="8" t="n"/>
    </x:row>
    <x:row r="64">
      <x:c r="A64" s="7" t="n"/>
      <x:c r="B64" s="8" t="n"/>
      <x:c r="C64" s="8" t="n"/>
      <x:c r="D64" s="8" t="n"/>
    </x:row>
    <x:row r="65">
      <x:c r="A65" s="7" t="n"/>
      <x:c r="B65" s="8" t="n"/>
      <x:c r="C65" s="8" t="n"/>
      <x:c r="D65" s="8" t="n"/>
    </x:row>
    <x:row r="66">
      <x:c r="A66" s="7" t="n"/>
      <x:c r="B66" s="8" t="n"/>
      <x:c r="C66" s="8" t="n"/>
      <x:c r="D66" s="8" t="n"/>
    </x:row>
    <x:row r="67">
      <x:c r="A67" s="7" t="n"/>
      <x:c r="B67" s="8" t="n"/>
      <x:c r="C67" s="8" t="n"/>
      <x:c r="D67" s="8" t="n"/>
    </x:row>
    <x:row r="68">
      <x:c r="A68" s="7" t="n"/>
      <x:c r="B68" s="8" t="n"/>
      <x:c r="C68" s="8" t="n"/>
      <x:c r="D68" s="8" t="n"/>
    </x:row>
    <x:row r="69">
      <x:c r="A69" s="7" t="n"/>
      <x:c r="B69" s="8" t="n"/>
      <x:c r="C69" s="8" t="n"/>
      <x:c r="D69" s="8" t="n"/>
    </x:row>
    <x:row r="70">
      <x:c r="A70" s="7" t="n"/>
      <x:c r="B70" s="8" t="n"/>
      <x:c r="C70" s="8" t="n"/>
      <x:c r="D70" s="8" t="n"/>
    </x:row>
    <x:row r="71">
      <x:c r="A71" s="7" t="n"/>
      <x:c r="B71" s="8" t="n"/>
      <x:c r="C71" s="8" t="n"/>
      <x:c r="D71" s="8" t="n"/>
    </x:row>
    <x:row r="72">
      <x:c r="A72" s="7" t="n"/>
      <x:c r="B72" s="8" t="n"/>
      <x:c r="C72" s="8" t="n"/>
      <x:c r="D72" s="8" t="n"/>
    </x:row>
    <x:row r="73">
      <x:c r="A73" s="7" t="n"/>
      <x:c r="B73" s="8" t="n"/>
      <x:c r="C73" s="8" t="n"/>
      <x:c r="D73" s="8" t="n"/>
    </x:row>
    <x:row r="74">
      <x:c r="A74" s="7" t="n"/>
      <x:c r="B74" s="8" t="n"/>
      <x:c r="C74" s="8" t="n"/>
      <x:c r="D74" s="8" t="n"/>
    </x:row>
    <x:row r="75">
      <x:c r="A75" s="7" t="n"/>
      <x:c r="B75" s="8" t="n"/>
      <x:c r="C75" s="8" t="n"/>
      <x:c r="D75" s="8" t="n"/>
    </x:row>
    <x:row r="76">
      <x:c r="A76" s="7" t="n"/>
      <x:c r="B76" s="8" t="n"/>
      <x:c r="C76" s="8" t="n"/>
      <x:c r="D76" s="8" t="n"/>
    </x:row>
    <x:row r="77">
      <x:c r="A77" s="7" t="n"/>
      <x:c r="B77" s="8" t="n"/>
      <x:c r="C77" s="8" t="n"/>
      <x:c r="D77" s="8" t="n"/>
    </x:row>
    <x:row r="78">
      <x:c r="A78" s="7" t="n"/>
      <x:c r="B78" s="8" t="n"/>
      <x:c r="C78" s="8" t="n"/>
      <x:c r="D78" s="8" t="n"/>
    </x:row>
    <x:row r="79">
      <x:c r="A79" s="7" t="n"/>
      <x:c r="B79" s="8" t="n"/>
      <x:c r="C79" s="8" t="n"/>
      <x:c r="D79" s="8" t="n"/>
    </x:row>
    <x:row r="80">
      <x:c r="A80" s="7" t="n"/>
      <x:c r="B80" s="8" t="n"/>
      <x:c r="C80" s="8" t="n"/>
      <x:c r="D80" s="8" t="n"/>
    </x:row>
    <x:row r="81">
      <x:c r="A81" s="7" t="n"/>
      <x:c r="B81" s="8" t="n"/>
      <x:c r="C81" s="8" t="n"/>
      <x:c r="D81" s="8" t="n"/>
    </x:row>
    <x:row r="82">
      <x:c r="A82" s="7" t="n"/>
      <x:c r="B82" s="8" t="n"/>
      <x:c r="C82" s="8" t="n"/>
      <x:c r="D82" s="8" t="n"/>
    </x:row>
    <x:row r="83">
      <x:c r="A83" s="7" t="n"/>
      <x:c r="B83" s="8" t="n"/>
      <x:c r="C83" s="8" t="n"/>
      <x:c r="D83" s="8" t="n"/>
    </x:row>
    <x:row r="84">
      <x:c r="A84" s="7" t="n"/>
      <x:c r="B84" s="8" t="n"/>
      <x:c r="C84" s="8" t="n"/>
      <x:c r="D84" s="8" t="n"/>
    </x:row>
    <x:row r="85">
      <x:c r="A85" s="7" t="n"/>
      <x:c r="B85" s="8" t="n"/>
      <x:c r="C85" s="8" t="n"/>
      <x:c r="D85" s="8" t="n"/>
    </x:row>
    <x:row r="86">
      <x:c r="A86" s="7" t="n"/>
      <x:c r="B86" s="8" t="n"/>
      <x:c r="C86" s="8" t="n"/>
      <x:c r="D86" s="8" t="n"/>
    </x:row>
    <x:row r="87">
      <x:c r="A87" s="7" t="n"/>
      <x:c r="B87" s="8" t="n"/>
      <x:c r="C87" s="8" t="n"/>
      <x:c r="D87" s="8" t="n"/>
    </x:row>
    <x:row r="88">
      <x:c r="A88" s="7" t="n"/>
      <x:c r="B88" s="8" t="n"/>
      <x:c r="C88" s="8" t="n"/>
      <x:c r="D88" s="8" t="n"/>
    </x:row>
    <x:row r="89">
      <x:c r="A89" s="7" t="n"/>
      <x:c r="B89" s="8" t="n"/>
      <x:c r="C89" s="8" t="n"/>
      <x:c r="D89" s="8" t="n"/>
    </x:row>
    <x:row r="90">
      <x:c r="A90" s="7" t="n"/>
      <x:c r="B90" s="8" t="n"/>
      <x:c r="C90" s="8" t="n"/>
      <x:c r="D90" s="8" t="n"/>
    </x:row>
    <x:row r="91">
      <x:c r="A91" s="7" t="n"/>
      <x:c r="B91" s="8" t="n"/>
      <x:c r="C91" s="8" t="n"/>
      <x:c r="D91" s="8" t="n"/>
    </x:row>
    <x:row r="92">
      <x:c r="A92" s="7" t="n"/>
      <x:c r="B92" s="8" t="n"/>
      <x:c r="C92" s="8" t="n"/>
      <x:c r="D92" s="8" t="n"/>
    </x:row>
    <x:row r="93">
      <x:c r="A93" s="7" t="n"/>
      <x:c r="B93" s="8" t="n"/>
      <x:c r="C93" s="8" t="n"/>
      <x:c r="D93" s="8" t="n"/>
    </x:row>
    <x:row r="94">
      <x:c r="A94" s="7" t="n"/>
      <x:c r="B94" s="8" t="n"/>
      <x:c r="C94" s="8" t="n"/>
      <x:c r="D94" s="8" t="n"/>
    </x:row>
    <x:row r="95">
      <x:c r="A95" s="7" t="n"/>
      <x:c r="B95" s="8" t="n"/>
      <x:c r="C95" s="8" t="n"/>
      <x:c r="D95" s="8" t="n"/>
    </x:row>
    <x:row r="96">
      <x:c r="A96" s="7" t="n"/>
      <x:c r="B96" s="8" t="n"/>
      <x:c r="C96" s="8" t="n"/>
      <x:c r="D96" s="8" t="n"/>
    </x:row>
    <x:row r="97">
      <x:c r="A97" s="7" t="n"/>
      <x:c r="B97" s="8" t="n"/>
      <x:c r="C97" s="8" t="n"/>
      <x:c r="D97" s="8" t="n"/>
    </x:row>
    <x:row r="98">
      <x:c r="A98" s="7" t="n"/>
      <x:c r="B98" s="8" t="n"/>
      <x:c r="C98" s="8" t="n"/>
      <x:c r="D98" s="8" t="n"/>
    </x:row>
    <x:row r="99">
      <x:c r="A99" s="7" t="n"/>
      <x:c r="B99" s="8" t="n"/>
      <x:c r="C99" s="8" t="n"/>
      <x:c r="D99" s="8" t="n"/>
    </x:row>
    <x:row r="100">
      <x:c r="A100" s="7" t="n"/>
      <x:c r="B100" s="8" t="n"/>
      <x:c r="C100" s="8" t="n"/>
      <x:c r="D100" s="8" t="n"/>
    </x:row>
    <x:row r="101">
      <x:c r="A101" s="7" t="n"/>
      <x:c r="B101" s="8" t="n"/>
      <x:c r="C101" s="8" t="n"/>
      <x:c r="D101" s="8" t="n"/>
    </x:row>
    <x:row r="102">
      <x:c r="A102" s="7" t="n"/>
      <x:c r="B102" s="8" t="n"/>
      <x:c r="C102" s="8" t="n"/>
      <x:c r="D102" s="8" t="n"/>
    </x:row>
    <x:row r="103">
      <x:c r="A103" s="7" t="n"/>
      <x:c r="B103" s="8" t="n"/>
      <x:c r="C103" s="8" t="n"/>
      <x:c r="D103" s="8" t="n"/>
    </x:row>
    <x:row r="104">
      <x:c r="A104" s="7" t="n"/>
      <x:c r="B104" s="8" t="n"/>
      <x:c r="C104" s="8" t="n"/>
      <x:c r="D104" s="8" t="n"/>
    </x:row>
    <x:row r="105">
      <x:c r="A105" s="7" t="n"/>
      <x:c r="B105" s="8" t="n"/>
      <x:c r="C105" s="8" t="n"/>
      <x:c r="D105" s="8" t="n"/>
    </x:row>
    <x:row r="106">
      <x:c r="A106" s="7" t="n"/>
      <x:c r="B106" s="8" t="n"/>
      <x:c r="C106" s="8" t="n"/>
      <x:c r="D106" s="8" t="n"/>
    </x:row>
    <x:row r="107">
      <x:c r="A107" s="7" t="n"/>
      <x:c r="B107" s="8" t="n"/>
      <x:c r="C107" s="8" t="n"/>
      <x:c r="D107" s="8" t="n"/>
    </x:row>
    <x:row r="108">
      <x:c r="A108" s="7" t="n"/>
      <x:c r="B108" s="8" t="n"/>
      <x:c r="C108" s="8" t="n"/>
      <x:c r="D108" s="8" t="n"/>
    </x:row>
    <x:row r="109">
      <x:c r="A109" s="7" t="n"/>
      <x:c r="B109" s="8" t="n"/>
      <x:c r="C109" s="8" t="n"/>
      <x:c r="D109" s="8" t="n"/>
    </x:row>
    <x:row r="110">
      <x:c r="A110" s="7" t="n"/>
      <x:c r="B110" s="8" t="n"/>
      <x:c r="C110" s="8" t="n"/>
      <x:c r="D110" s="8" t="n"/>
    </x:row>
    <x:row r="111">
      <x:c r="A111" s="7" t="n"/>
      <x:c r="B111" s="8" t="n"/>
      <x:c r="C111" s="8" t="n"/>
      <x:c r="D111" s="8" t="n"/>
    </x:row>
    <x:row r="112">
      <x:c r="A112" s="7" t="n"/>
      <x:c r="B112" s="8" t="n"/>
      <x:c r="C112" s="8" t="n"/>
      <x:c r="D112" s="8" t="n"/>
    </x:row>
    <x:row r="113">
      <x:c r="A113" s="7" t="n"/>
      <x:c r="B113" s="8" t="n"/>
      <x:c r="C113" s="8" t="n"/>
      <x:c r="D113" s="8" t="n"/>
    </x:row>
    <x:row r="114">
      <x:c r="A114" s="7" t="n"/>
      <x:c r="B114" s="8" t="n"/>
      <x:c r="C114" s="8" t="n"/>
      <x:c r="D114" s="8" t="n"/>
    </x:row>
    <x:row r="115">
      <x:c r="A115" s="7" t="n"/>
      <x:c r="B115" s="8" t="n"/>
      <x:c r="C115" s="8" t="n"/>
      <x:c r="D115" s="8" t="n"/>
    </x:row>
    <x:row r="116">
      <x:c r="A116" s="7" t="n"/>
      <x:c r="B116" s="8" t="n"/>
      <x:c r="C116" s="8" t="n"/>
      <x:c r="D116" s="8" t="n"/>
    </x:row>
    <x:row r="117">
      <x:c r="A117" s="7" t="n"/>
      <x:c r="B117" s="8" t="n"/>
      <x:c r="C117" s="8" t="n"/>
      <x:c r="D117" s="8" t="n"/>
    </x:row>
    <x:row r="118">
      <x:c r="A118" s="7" t="n"/>
      <x:c r="B118" s="8" t="n"/>
      <x:c r="C118" s="8" t="n"/>
      <x:c r="D118" s="8" t="n"/>
    </x:row>
    <x:row r="119">
      <x:c r="A119" s="7" t="n"/>
      <x:c r="B119" s="8" t="n"/>
      <x:c r="C119" s="8" t="n"/>
      <x:c r="D119" s="8" t="n"/>
    </x:row>
    <x:row r="120">
      <x:c r="A120" s="7" t="n"/>
      <x:c r="B120" s="8" t="n"/>
      <x:c r="C120" s="8" t="n"/>
      <x:c r="D120" s="8" t="n"/>
    </x:row>
    <x:row r="121">
      <x:c r="A121" s="7" t="n"/>
      <x:c r="B121" s="8" t="n"/>
      <x:c r="C121" s="8" t="n"/>
      <x:c r="D121" s="8" t="n"/>
    </x:row>
    <x:row r="122">
      <x:c r="A122" s="7" t="n"/>
      <x:c r="B122" s="8" t="n"/>
      <x:c r="C122" s="8" t="n"/>
      <x:c r="D122" s="8" t="n"/>
    </x:row>
    <x:row r="123">
      <x:c r="A123" s="7" t="n"/>
      <x:c r="B123" s="8" t="n"/>
      <x:c r="C123" s="8" t="n"/>
      <x:c r="D123" s="8" t="n"/>
    </x:row>
    <x:row r="124">
      <x:c r="A124" s="7" t="n"/>
      <x:c r="B124" s="8" t="n"/>
      <x:c r="C124" s="8" t="n"/>
      <x:c r="D124" s="8" t="n"/>
    </x:row>
    <x:row r="125">
      <x:c r="A125" s="7" t="n"/>
      <x:c r="B125" s="8" t="n"/>
      <x:c r="C125" s="8" t="n"/>
      <x:c r="D125" s="8" t="n"/>
    </x:row>
    <x:row r="126">
      <x:c r="A126" s="7" t="n"/>
      <x:c r="B126" s="8" t="n"/>
      <x:c r="C126" s="8" t="n"/>
      <x:c r="D126" s="8" t="n"/>
    </x:row>
    <x:row r="127">
      <x:c r="A127" s="7" t="n"/>
      <x:c r="B127" s="8" t="n"/>
      <x:c r="C127" s="8" t="n"/>
      <x:c r="D127" s="8" t="n"/>
    </x:row>
    <x:row r="128">
      <x:c r="A128" s="7" t="n"/>
      <x:c r="B128" s="8" t="n"/>
      <x:c r="C128" s="8" t="n"/>
      <x:c r="D128" s="8" t="n"/>
    </x:row>
    <x:row r="129">
      <x:c r="A129" s="7" t="n"/>
      <x:c r="B129" s="8" t="n"/>
      <x:c r="C129" s="8" t="n"/>
      <x:c r="D129" s="8" t="n"/>
    </x:row>
    <x:row r="130">
      <x:c r="A130" s="7" t="n"/>
      <x:c r="B130" s="8" t="n"/>
      <x:c r="C130" s="8" t="n"/>
      <x:c r="D130" s="8" t="n"/>
    </x:row>
    <x:row r="131">
      <x:c r="A131" s="7" t="n"/>
      <x:c r="B131" s="8" t="n"/>
      <x:c r="C131" s="8" t="n"/>
      <x:c r="D131" s="8" t="n"/>
    </x:row>
    <x:row r="132">
      <x:c r="A132" s="7" t="n"/>
      <x:c r="B132" s="8" t="n"/>
      <x:c r="C132" s="8" t="n"/>
      <x:c r="D132" s="8" t="n"/>
    </x:row>
    <x:row r="133">
      <x:c r="A133" s="7" t="n"/>
      <x:c r="B133" s="8" t="n"/>
      <x:c r="C133" s="8" t="n"/>
      <x:c r="D133" s="8" t="n"/>
    </x:row>
    <x:row r="134">
      <x:c r="A134" s="7" t="n"/>
      <x:c r="B134" s="8" t="n"/>
      <x:c r="C134" s="8" t="n"/>
      <x:c r="D134" s="8" t="n"/>
    </x:row>
    <x:row r="135">
      <x:c r="A135" s="7" t="n"/>
      <x:c r="B135" s="8" t="n"/>
      <x:c r="C135" s="8" t="n"/>
      <x:c r="D135" s="8" t="n"/>
    </x:row>
    <x:row r="136">
      <x:c r="A136" s="7" t="n"/>
      <x:c r="B136" s="8" t="n"/>
      <x:c r="C136" s="8" t="n"/>
      <x:c r="D136" s="8" t="n"/>
    </x:row>
    <x:row r="137">
      <x:c r="A137" s="7" t="n"/>
      <x:c r="B137" s="8" t="n"/>
      <x:c r="C137" s="8" t="n"/>
      <x:c r="D137" s="8" t="n"/>
    </x:row>
    <x:row r="138">
      <x:c r="A138" s="7" t="n"/>
      <x:c r="B138" s="8" t="n"/>
      <x:c r="C138" s="8" t="n"/>
      <x:c r="D138" s="8" t="n"/>
    </x:row>
    <x:row r="139">
      <x:c r="A139" s="7" t="n"/>
      <x:c r="B139" s="8" t="n"/>
      <x:c r="C139" s="8" t="n"/>
      <x:c r="D139" s="8" t="n"/>
    </x:row>
    <x:row r="140">
      <x:c r="A140" s="7" t="n"/>
      <x:c r="B140" s="8" t="n"/>
      <x:c r="C140" s="8" t="n"/>
      <x:c r="D140" s="8" t="n"/>
    </x:row>
    <x:row r="141">
      <x:c r="A141" s="7" t="n"/>
      <x:c r="B141" s="8" t="n"/>
      <x:c r="C141" s="8" t="n"/>
      <x:c r="D141" s="8" t="n"/>
    </x:row>
    <x:row r="142">
      <x:c r="A142" s="7" t="n"/>
      <x:c r="B142" s="8" t="n"/>
      <x:c r="C142" s="8" t="n"/>
      <x:c r="D142" s="8" t="n"/>
    </x:row>
    <x:row r="143">
      <x:c r="A143" s="7" t="n"/>
      <x:c r="B143" s="8" t="n"/>
      <x:c r="C143" s="8" t="n"/>
      <x:c r="D143" s="8" t="n"/>
    </x:row>
    <x:row r="144">
      <x:c r="A144" s="7" t="n"/>
      <x:c r="B144" s="8" t="n"/>
      <x:c r="C144" s="8" t="n"/>
      <x:c r="D144" s="8" t="n"/>
    </x:row>
    <x:row r="145">
      <x:c r="A145" s="7" t="n"/>
      <x:c r="B145" s="8" t="n"/>
      <x:c r="C145" s="8" t="n"/>
      <x:c r="D145" s="8" t="n"/>
    </x:row>
    <x:row r="146">
      <x:c r="A146" s="7" t="n"/>
      <x:c r="B146" s="8" t="n"/>
      <x:c r="C146" s="8" t="n"/>
      <x:c r="D146" s="8" t="n"/>
    </x:row>
    <x:row r="147">
      <x:c r="A147" s="7" t="n"/>
      <x:c r="B147" s="8" t="n"/>
      <x:c r="C147" s="8" t="n"/>
      <x:c r="D147" s="8" t="n"/>
    </x:row>
    <x:row r="148">
      <x:c r="A148" s="7" t="n"/>
      <x:c r="B148" s="8" t="n"/>
      <x:c r="C148" s="8" t="n"/>
      <x:c r="D148" s="8" t="n"/>
    </x:row>
    <x:row r="149">
      <x:c r="A149" s="7" t="n"/>
      <x:c r="B149" s="8" t="n"/>
      <x:c r="C149" s="8" t="n"/>
      <x:c r="D149" s="8" t="n"/>
    </x:row>
    <x:row r="150">
      <x:c r="A150" s="7" t="n"/>
      <x:c r="B150" s="8" t="n"/>
      <x:c r="C150" s="8" t="n"/>
      <x:c r="D150" s="8" t="n"/>
    </x:row>
    <x:row r="151">
      <x:c r="A151" s="7" t="n"/>
      <x:c r="B151" s="8" t="n"/>
      <x:c r="C151" s="8" t="n"/>
      <x:c r="D151" s="8" t="n"/>
    </x:row>
    <x:row r="152">
      <x:c r="A152" s="7" t="n"/>
      <x:c r="B152" s="8" t="n"/>
      <x:c r="C152" s="8" t="n"/>
      <x:c r="D152" s="8" t="n"/>
    </x:row>
    <x:row r="153">
      <x:c r="A153" s="7" t="n"/>
      <x:c r="B153" s="8" t="n"/>
      <x:c r="C153" s="8" t="n"/>
      <x:c r="D153" s="8" t="n"/>
    </x:row>
    <x:row r="154">
      <x:c r="A154" s="7" t="n"/>
      <x:c r="B154" s="8" t="n"/>
      <x:c r="C154" s="8" t="n"/>
      <x:c r="D154" s="8" t="n"/>
    </x:row>
    <x:row r="155">
      <x:c r="A155" s="7" t="n"/>
      <x:c r="B155" s="8" t="n"/>
      <x:c r="C155" s="8" t="n"/>
      <x:c r="D155" s="8" t="n"/>
    </x:row>
    <x:row r="156">
      <x:c r="A156" s="7" t="n"/>
      <x:c r="B156" s="8" t="n"/>
      <x:c r="C156" s="8" t="n"/>
      <x:c r="D156" s="8" t="n"/>
    </x:row>
    <x:row r="157">
      <x:c r="A157" s="7" t="n"/>
      <x:c r="B157" s="8" t="n"/>
      <x:c r="C157" s="8" t="n"/>
      <x:c r="D157" s="8" t="n"/>
    </x:row>
    <x:row r="158">
      <x:c r="A158" s="7" t="n"/>
      <x:c r="B158" s="8" t="n"/>
      <x:c r="C158" s="8" t="n"/>
      <x:c r="D158" s="8" t="n"/>
    </x:row>
    <x:row r="159">
      <x:c r="A159" s="7" t="n"/>
      <x:c r="B159" s="8" t="n"/>
      <x:c r="C159" s="8" t="n"/>
      <x:c r="D159" s="8" t="n"/>
    </x:row>
    <x:row r="160">
      <x:c r="A160" s="7" t="n"/>
      <x:c r="B160" s="8" t="n"/>
      <x:c r="C160" s="8" t="n"/>
      <x:c r="D160" s="8" t="n"/>
    </x:row>
    <x:row r="161">
      <x:c r="A161" s="7" t="n"/>
      <x:c r="B161" s="8" t="n"/>
      <x:c r="C161" s="8" t="n"/>
      <x:c r="D161" s="8" t="n"/>
    </x:row>
    <x:row r="162">
      <x:c r="A162" s="7" t="n"/>
      <x:c r="B162" s="8" t="n"/>
      <x:c r="C162" s="8" t="n"/>
      <x:c r="D162" s="8" t="n"/>
    </x:row>
    <x:row r="163">
      <x:c r="A163" s="7" t="n"/>
      <x:c r="B163" s="8" t="n"/>
      <x:c r="C163" s="8" t="n"/>
      <x:c r="D163" s="8" t="n"/>
    </x:row>
    <x:row r="164">
      <x:c r="A164" s="7" t="n"/>
      <x:c r="B164" s="8" t="n"/>
      <x:c r="C164" s="8" t="n"/>
      <x:c r="D164" s="8" t="n"/>
    </x:row>
    <x:row r="165">
      <x:c r="A165" s="7" t="n"/>
      <x:c r="B165" s="8" t="n"/>
      <x:c r="C165" s="8" t="n"/>
      <x:c r="D165" s="8" t="n"/>
    </x:row>
    <x:row r="166">
      <x:c r="A166" s="7" t="n"/>
      <x:c r="B166" s="8" t="n"/>
      <x:c r="C166" s="8" t="n"/>
      <x:c r="D166" s="8" t="n"/>
    </x:row>
    <x:row r="167">
      <x:c r="A167" s="7" t="n"/>
      <x:c r="B167" s="8" t="n"/>
      <x:c r="C167" s="8" t="n"/>
      <x:c r="D167" s="8" t="n"/>
    </x:row>
    <x:row r="168">
      <x:c r="A168" s="7" t="n"/>
      <x:c r="B168" s="8" t="n"/>
      <x:c r="C168" s="8" t="n"/>
      <x:c r="D168" s="8" t="n"/>
    </x:row>
    <x:row r="169">
      <x:c r="A169" s="7" t="n"/>
      <x:c r="B169" s="8" t="n"/>
      <x:c r="C169" s="8" t="n"/>
      <x:c r="D169" s="8" t="n"/>
    </x:row>
    <x:row r="170">
      <x:c r="A170" s="7" t="n"/>
      <x:c r="B170" s="8" t="n"/>
      <x:c r="C170" s="8" t="n"/>
      <x:c r="D170" s="8" t="n"/>
    </x:row>
    <x:row r="171">
      <x:c r="A171" s="7" t="n"/>
      <x:c r="B171" s="8" t="n"/>
      <x:c r="C171" s="8" t="n"/>
      <x:c r="D171" s="8" t="n"/>
    </x:row>
    <x:row r="172">
      <x:c r="A172" s="7" t="n"/>
      <x:c r="B172" s="8" t="n"/>
      <x:c r="C172" s="8" t="n"/>
      <x:c r="D172" s="8" t="n"/>
    </x:row>
    <x:row r="173">
      <x:c r="A173" s="7" t="n"/>
      <x:c r="B173" s="8" t="n"/>
      <x:c r="C173" s="8" t="n"/>
      <x:c r="D173" s="8" t="n"/>
    </x:row>
    <x:row r="174">
      <x:c r="A174" s="7" t="n"/>
      <x:c r="B174" s="8" t="n"/>
      <x:c r="C174" s="8" t="n"/>
      <x:c r="D174" s="8" t="n"/>
    </x:row>
    <x:row r="175">
      <x:c r="A175" s="7" t="n"/>
      <x:c r="B175" s="8" t="n"/>
      <x:c r="C175" s="8" t="n"/>
      <x:c r="D175" s="8" t="n"/>
    </x:row>
    <x:row r="176">
      <x:c r="A176" s="7" t="n"/>
      <x:c r="B176" s="8" t="n"/>
      <x:c r="C176" s="8" t="n"/>
      <x:c r="D176" s="8" t="n"/>
    </x:row>
    <x:row r="177">
      <x:c r="A177" s="7" t="n"/>
      <x:c r="B177" s="8" t="n"/>
      <x:c r="C177" s="8" t="n"/>
      <x:c r="D177" s="8" t="n"/>
    </x:row>
    <x:row r="178">
      <x:c r="A178" s="7" t="n"/>
      <x:c r="B178" s="8" t="n"/>
      <x:c r="C178" s="8" t="n"/>
      <x:c r="D178" s="8" t="n"/>
    </x:row>
    <x:row r="179">
      <x:c r="A179" s="7" t="n"/>
      <x:c r="B179" s="8" t="n"/>
      <x:c r="C179" s="8" t="n"/>
      <x:c r="D179" s="8" t="n"/>
    </x:row>
    <x:row r="180">
      <x:c r="A180" s="7" t="n"/>
      <x:c r="B180" s="8" t="n"/>
      <x:c r="C180" s="8" t="n"/>
      <x:c r="D180" s="8" t="n"/>
    </x:row>
    <x:row r="181">
      <x:c r="A181" s="7" t="n"/>
      <x:c r="B181" s="8" t="n"/>
      <x:c r="C181" s="8" t="n"/>
      <x:c r="D181" s="8" t="n"/>
    </x:row>
    <x:row r="182">
      <x:c r="A182" s="7" t="n"/>
      <x:c r="B182" s="8" t="n"/>
      <x:c r="C182" s="8" t="n"/>
      <x:c r="D182" s="8" t="n"/>
    </x:row>
    <x:row r="183">
      <x:c r="A183" s="7" t="n"/>
      <x:c r="B183" s="8" t="n"/>
      <x:c r="C183" s="8" t="n"/>
      <x:c r="D183" s="8" t="n"/>
    </x:row>
    <x:row r="184">
      <x:c r="A184" s="7" t="n"/>
      <x:c r="B184" s="8" t="n"/>
      <x:c r="C184" s="8" t="n"/>
      <x:c r="D184" s="8" t="n"/>
    </x:row>
    <x:row r="185">
      <x:c r="A185" s="7" t="n"/>
      <x:c r="B185" s="8" t="n"/>
      <x:c r="C185" s="8" t="n"/>
      <x:c r="D185" s="8" t="n"/>
    </x:row>
    <x:row r="186">
      <x:c r="A186" s="7" t="n"/>
      <x:c r="B186" s="8" t="n"/>
      <x:c r="C186" s="8" t="n"/>
      <x:c r="D186" s="8" t="n"/>
    </x:row>
    <x:row r="187">
      <x:c r="A187" s="7" t="n"/>
      <x:c r="B187" s="8" t="n"/>
      <x:c r="C187" s="8" t="n"/>
      <x:c r="D187" s="8" t="n"/>
    </x:row>
    <x:row r="188">
      <x:c r="A188" s="7" t="n"/>
      <x:c r="B188" s="8" t="n"/>
      <x:c r="C188" s="8" t="n"/>
      <x:c r="D188" s="8" t="n"/>
    </x:row>
    <x:row r="189">
      <x:c r="A189" s="7" t="n"/>
      <x:c r="B189" s="8" t="n"/>
      <x:c r="C189" s="8" t="n"/>
      <x:c r="D189" s="8" t="n"/>
    </x:row>
    <x:row r="190">
      <x:c r="A190" s="7" t="n"/>
      <x:c r="B190" s="8" t="n"/>
      <x:c r="C190" s="8" t="n"/>
      <x:c r="D190" s="8" t="n"/>
    </x:row>
    <x:row r="191">
      <x:c r="A191" s="7" t="n"/>
      <x:c r="B191" s="8" t="n"/>
      <x:c r="C191" s="8" t="n"/>
      <x:c r="D191" s="8" t="n"/>
    </x:row>
    <x:row r="192">
      <x:c r="A192" s="7" t="n"/>
      <x:c r="B192" s="8" t="n"/>
      <x:c r="C192" s="8" t="n"/>
      <x:c r="D192" s="8" t="n"/>
    </x:row>
    <x:row r="193">
      <x:c r="A193" s="7" t="n"/>
      <x:c r="B193" s="8" t="n"/>
      <x:c r="C193" s="8" t="n"/>
      <x:c r="D193" s="8" t="n"/>
    </x:row>
    <x:row r="194">
      <x:c r="A194" s="7" t="n"/>
      <x:c r="B194" s="8" t="n"/>
      <x:c r="C194" s="8" t="n"/>
      <x:c r="D194" s="8" t="n"/>
    </x:row>
    <x:row r="195">
      <x:c r="A195" s="7" t="n"/>
      <x:c r="B195" s="8" t="n"/>
      <x:c r="C195" s="8" t="n"/>
      <x:c r="D195" s="8" t="n"/>
    </x:row>
    <x:row r="196">
      <x:c r="A196" s="7" t="n"/>
      <x:c r="B196" s="8" t="n"/>
      <x:c r="C196" s="8" t="n"/>
      <x:c r="D196" s="8" t="n"/>
    </x:row>
    <x:row r="197">
      <x:c r="A197" s="7" t="n"/>
      <x:c r="B197" s="8" t="n"/>
      <x:c r="C197" s="8" t="n"/>
      <x:c r="D197" s="8" t="n"/>
    </x:row>
    <x:row r="198">
      <x:c r="A198" s="7" t="n"/>
      <x:c r="B198" s="8" t="n"/>
      <x:c r="C198" s="8" t="n"/>
      <x:c r="D198" s="8" t="n"/>
    </x:row>
    <x:row r="199">
      <x:c r="A199" s="7" t="n"/>
      <x:c r="B199" s="8" t="n"/>
      <x:c r="C199" s="8" t="n"/>
      <x:c r="D199" s="8" t="n"/>
    </x:row>
    <x:row r="200">
      <x:c r="A200" s="7" t="n"/>
      <x:c r="B200" s="8" t="n"/>
      <x:c r="C200" s="8" t="n"/>
      <x:c r="D200" s="8" t="n"/>
    </x:row>
    <x:row r="201">
      <x:c r="A201" s="7" t="n"/>
      <x:c r="B201" s="8" t="n"/>
      <x:c r="C201" s="8" t="n"/>
      <x:c r="D201" s="8" t="n"/>
    </x:row>
    <x:row r="202">
      <x:c r="A202" s="7" t="n"/>
      <x:c r="B202" s="8" t="n"/>
      <x:c r="C202" s="8" t="n"/>
      <x:c r="D202" s="8" t="n"/>
    </x:row>
    <x:row r="203">
      <x:c r="A203" s="7" t="n"/>
      <x:c r="B203" s="8" t="n"/>
      <x:c r="C203" s="8" t="n"/>
      <x:c r="D203" s="8" t="n"/>
    </x:row>
    <x:row r="204">
      <x:c r="A204" s="7" t="n"/>
      <x:c r="B204" s="8" t="n"/>
      <x:c r="C204" s="8" t="n"/>
      <x:c r="D204" s="8" t="n"/>
    </x:row>
    <x:row r="205">
      <x:c r="A205" s="7" t="n"/>
      <x:c r="B205" s="8" t="n"/>
      <x:c r="C205" s="8" t="n"/>
      <x:c r="D205" s="8" t="n"/>
    </x:row>
    <x:row r="206">
      <x:c r="A206" s="7" t="n"/>
      <x:c r="B206" s="8" t="n"/>
      <x:c r="C206" s="8" t="n"/>
      <x:c r="D206" s="8" t="n"/>
    </x:row>
    <x:row r="207">
      <x:c r="A207" s="7" t="n"/>
      <x:c r="B207" s="8" t="n"/>
      <x:c r="C207" s="8" t="n"/>
      <x:c r="D207" s="8" t="n"/>
    </x:row>
    <x:row r="208">
      <x:c r="A208" s="7" t="n"/>
      <x:c r="B208" s="8" t="n"/>
      <x:c r="C208" s="8" t="n"/>
      <x:c r="D208" s="8" t="n"/>
    </x:row>
    <x:row r="209">
      <x:c r="A209" s="7" t="n"/>
      <x:c r="B209" s="8" t="n"/>
      <x:c r="C209" s="8" t="n"/>
      <x:c r="D209" s="8" t="n"/>
    </x:row>
    <x:row r="210">
      <x:c r="A210" s="7" t="n"/>
      <x:c r="B210" s="8" t="n"/>
      <x:c r="C210" s="8" t="n"/>
      <x:c r="D210" s="8" t="n"/>
    </x:row>
    <x:row r="211">
      <x:c r="A211" s="7" t="n"/>
      <x:c r="B211" s="8" t="n"/>
      <x:c r="C211" s="8" t="n"/>
      <x:c r="D211" s="8" t="n"/>
    </x:row>
    <x:row r="212">
      <x:c r="A212" s="7" t="n"/>
      <x:c r="B212" s="8" t="n"/>
      <x:c r="C212" s="8" t="n"/>
      <x:c r="D212" s="8" t="n"/>
    </x:row>
    <x:row r="213">
      <x:c r="A213" s="7" t="n"/>
      <x:c r="B213" s="8" t="n"/>
      <x:c r="C213" s="8" t="n"/>
      <x:c r="D213" s="8" t="n"/>
    </x:row>
    <x:row r="214">
      <x:c r="A214" s="7" t="n"/>
      <x:c r="B214" s="8" t="n"/>
      <x:c r="C214" s="8" t="n"/>
      <x:c r="D214" s="8" t="n"/>
    </x:row>
    <x:row r="215">
      <x:c r="A215" s="7" t="n"/>
      <x:c r="B215" s="8" t="n"/>
      <x:c r="C215" s="8" t="n"/>
      <x:c r="D215" s="8" t="n"/>
    </x:row>
    <x:row r="216">
      <x:c r="A216" s="7" t="n"/>
      <x:c r="B216" s="8" t="n"/>
      <x:c r="C216" s="8" t="n"/>
      <x:c r="D216" s="8" t="n"/>
    </x:row>
    <x:row r="217">
      <x:c r="A217" s="7" t="n"/>
      <x:c r="B217" s="8" t="n"/>
      <x:c r="C217" s="8" t="n"/>
      <x:c r="D217" s="8" t="n"/>
    </x:row>
    <x:row r="218">
      <x:c r="A218" s="7" t="n"/>
      <x:c r="B218" s="8" t="n"/>
      <x:c r="C218" s="8" t="n"/>
      <x:c r="D218" s="8" t="n"/>
    </x:row>
    <x:row r="219">
      <x:c r="A219" s="7" t="n"/>
      <x:c r="B219" s="8" t="n"/>
      <x:c r="C219" s="8" t="n"/>
      <x:c r="D219" s="8" t="n"/>
    </x:row>
    <x:row r="220">
      <x:c r="A220" s="7" t="n"/>
      <x:c r="B220" s="8" t="n"/>
      <x:c r="C220" s="8" t="n"/>
      <x:c r="D220" s="8" t="n"/>
    </x:row>
    <x:row r="221">
      <x:c r="A221" s="7" t="n"/>
      <x:c r="B221" s="8" t="n"/>
      <x:c r="C221" s="8" t="n"/>
      <x:c r="D221" s="8" t="n"/>
    </x:row>
    <x:row r="222">
      <x:c r="A222" s="7" t="n"/>
      <x:c r="B222" s="8" t="n"/>
      <x:c r="C222" s="8" t="n"/>
      <x:c r="D222" s="8" t="n"/>
    </x:row>
    <x:row r="223">
      <x:c r="A223" s="7" t="n"/>
      <x:c r="B223" s="8" t="n"/>
      <x:c r="C223" s="8" t="n"/>
      <x:c r="D223" s="8" t="n"/>
    </x:row>
    <x:row r="224">
      <x:c r="A224" s="7" t="n"/>
      <x:c r="B224" s="8" t="n"/>
      <x:c r="C224" s="8" t="n"/>
      <x:c r="D224" s="8" t="n"/>
    </x:row>
    <x:row r="225">
      <x:c r="A225" s="7" t="n"/>
      <x:c r="B225" s="8" t="n"/>
      <x:c r="C225" s="8" t="n"/>
      <x:c r="D225" s="8" t="n"/>
    </x:row>
    <x:row r="226">
      <x:c r="A226" s="7" t="n"/>
      <x:c r="B226" s="8" t="n"/>
      <x:c r="C226" s="8" t="n"/>
      <x:c r="D226" s="8" t="n"/>
    </x:row>
    <x:row r="227">
      <x:c r="A227" s="7" t="n"/>
      <x:c r="B227" s="8" t="n"/>
      <x:c r="C227" s="8" t="n"/>
      <x:c r="D227" s="8" t="n"/>
    </x:row>
    <x:row r="228">
      <x:c r="A228" s="7" t="n"/>
      <x:c r="B228" s="8" t="n"/>
      <x:c r="C228" s="8" t="n"/>
      <x:c r="D228" s="8" t="n"/>
    </x:row>
    <x:row r="229">
      <x:c r="A229" s="7" t="n"/>
      <x:c r="B229" s="8" t="n"/>
      <x:c r="C229" s="8" t="n"/>
      <x:c r="D229" s="8" t="n"/>
    </x:row>
    <x:row r="230">
      <x:c r="A230" s="7" t="n"/>
      <x:c r="B230" s="8" t="n"/>
      <x:c r="C230" s="8" t="n"/>
      <x:c r="D230" s="8" t="n"/>
    </x:row>
    <x:row r="231">
      <x:c r="A231" s="7" t="n"/>
      <x:c r="B231" s="8" t="n"/>
      <x:c r="C231" s="8" t="n"/>
      <x:c r="D231" s="8" t="n"/>
    </x:row>
    <x:row r="232">
      <x:c r="A232" s="7" t="n"/>
      <x:c r="B232" s="8" t="n"/>
      <x:c r="C232" s="8" t="n"/>
      <x:c r="D232" s="8" t="n"/>
    </x:row>
    <x:row r="233">
      <x:c r="A233" s="7" t="n"/>
      <x:c r="B233" s="8" t="n"/>
      <x:c r="C233" s="8" t="n"/>
      <x:c r="D233" s="8" t="n"/>
    </x:row>
    <x:row r="234">
      <x:c r="A234" s="7" t="n"/>
      <x:c r="B234" s="8" t="n"/>
      <x:c r="C234" s="8" t="n"/>
      <x:c r="D234" s="8" t="n"/>
    </x:row>
    <x:row r="235">
      <x:c r="A235" s="7" t="n"/>
      <x:c r="B235" s="8" t="n"/>
      <x:c r="C235" s="8" t="n"/>
      <x:c r="D235" s="8" t="n"/>
    </x:row>
    <x:row r="236">
      <x:c r="A236" s="7" t="n"/>
      <x:c r="B236" s="8" t="n"/>
      <x:c r="C236" s="8" t="n"/>
      <x:c r="D236" s="8" t="n"/>
    </x:row>
    <x:row r="237">
      <x:c r="A237" s="7" t="n"/>
      <x:c r="B237" s="8" t="n"/>
      <x:c r="C237" s="8" t="n"/>
      <x:c r="D237" s="8" t="n"/>
    </x:row>
    <x:row r="238">
      <x:c r="A238" s="7" t="n"/>
      <x:c r="B238" s="8" t="n"/>
      <x:c r="C238" s="8" t="n"/>
      <x:c r="D238" s="8" t="n"/>
    </x:row>
    <x:row r="239">
      <x:c r="A239" s="7" t="n"/>
      <x:c r="B239" s="8" t="n"/>
      <x:c r="C239" s="8" t="n"/>
      <x:c r="D239" s="8" t="n"/>
    </x:row>
    <x:row r="240">
      <x:c r="A240" s="7" t="n"/>
      <x:c r="B240" s="8" t="n"/>
      <x:c r="C240" s="8" t="n"/>
      <x:c r="D240" s="8" t="n"/>
    </x:row>
    <x:row r="241">
      <x:c r="A241" s="7" t="n"/>
      <x:c r="B241" s="8" t="n"/>
      <x:c r="C241" s="8" t="n"/>
      <x:c r="D241" s="8" t="n"/>
    </x:row>
    <x:row r="242">
      <x:c r="A242" s="7" t="n"/>
      <x:c r="B242" s="8" t="n"/>
      <x:c r="C242" s="8" t="n"/>
      <x:c r="D242" s="8" t="n"/>
    </x:row>
    <x:row r="243">
      <x:c r="A243" s="7" t="n"/>
      <x:c r="B243" s="8" t="n"/>
      <x:c r="C243" s="8" t="n"/>
      <x:c r="D243" s="8" t="n"/>
    </x:row>
    <x:row r="244">
      <x:c r="A244" s="7" t="n"/>
      <x:c r="B244" s="8" t="n"/>
      <x:c r="C244" s="8" t="n"/>
      <x:c r="D244" s="8" t="n"/>
    </x:row>
    <x:row r="245">
      <x:c r="A245" s="7" t="n"/>
      <x:c r="B245" s="8" t="n"/>
      <x:c r="C245" s="8" t="n"/>
      <x:c r="D245" s="8" t="n"/>
    </x:row>
    <x:row r="246">
      <x:c r="A246" s="7" t="n"/>
      <x:c r="B246" s="8" t="n"/>
      <x:c r="C246" s="8" t="n"/>
      <x:c r="D246" s="8" t="n"/>
    </x:row>
    <x:row r="247">
      <x:c r="A247" s="7" t="n"/>
      <x:c r="B247" s="8" t="n"/>
      <x:c r="C247" s="8" t="n"/>
      <x:c r="D247" s="8" t="n"/>
    </x:row>
    <x:row r="248">
      <x:c r="A248" s="7" t="n"/>
      <x:c r="B248" s="8" t="n"/>
      <x:c r="C248" s="8" t="n"/>
      <x:c r="D248" s="8" t="n"/>
    </x:row>
    <x:row r="249">
      <x:c r="A249" s="7" t="n"/>
      <x:c r="B249" s="8" t="n"/>
      <x:c r="C249" s="8" t="n"/>
      <x:c r="D249" s="8" t="n"/>
    </x:row>
    <x:row r="250">
      <x:c r="A250" s="7" t="n"/>
      <x:c r="B250" s="8" t="n"/>
      <x:c r="C250" s="8" t="n"/>
      <x:c r="D250" s="8" t="n"/>
    </x:row>
    <x:row r="251">
      <x:c r="A251" s="7" t="n"/>
      <x:c r="B251" s="8" t="n"/>
      <x:c r="C251" s="8" t="n"/>
      <x:c r="D251" s="8" t="n"/>
    </x:row>
    <x:row r="252">
      <x:c r="A252" s="7" t="n"/>
      <x:c r="B252" s="8" t="n"/>
      <x:c r="C252" s="8" t="n"/>
      <x:c r="D252" s="8" t="n"/>
    </x:row>
    <x:row r="253">
      <x:c r="A253" s="7" t="n"/>
      <x:c r="B253" s="8" t="n"/>
      <x:c r="C253" s="8" t="n"/>
      <x:c r="D253" s="8" t="n"/>
    </x:row>
    <x:row r="254">
      <x:c r="A254" s="7" t="n"/>
      <x:c r="B254" s="8" t="n"/>
      <x:c r="C254" s="8" t="n"/>
      <x:c r="D254" s="8" t="n"/>
    </x:row>
    <x:row r="255">
      <x:c r="A255" s="7" t="n"/>
      <x:c r="B255" s="8" t="n"/>
      <x:c r="C255" s="8" t="n"/>
      <x:c r="D255" s="8" t="n"/>
    </x:row>
    <x:row r="256">
      <x:c r="A256" s="7" t="n"/>
      <x:c r="B256" s="8" t="n"/>
      <x:c r="C256" s="8" t="n"/>
      <x:c r="D256" s="8" t="n"/>
    </x:row>
    <x:row r="257">
      <x:c r="A257" s="7" t="n"/>
      <x:c r="B257" s="8" t="n"/>
      <x:c r="C257" s="8" t="n"/>
      <x:c r="D257" s="8" t="n"/>
    </x:row>
    <x:row r="258">
      <x:c r="A258" s="7" t="n"/>
      <x:c r="B258" s="8" t="n"/>
      <x:c r="C258" s="8" t="n"/>
      <x:c r="D258" s="8" t="n"/>
    </x:row>
    <x:row r="259">
      <x:c r="A259" s="7" t="n"/>
      <x:c r="B259" s="8" t="n"/>
      <x:c r="C259" s="8" t="n"/>
      <x:c r="D259" s="8" t="n"/>
    </x:row>
    <x:row r="260">
      <x:c r="A260" s="7" t="n"/>
      <x:c r="B260" s="8" t="n"/>
      <x:c r="C260" s="8" t="n"/>
      <x:c r="D260" s="8" t="n"/>
    </x:row>
    <x:row r="261">
      <x:c r="A261" s="7" t="n"/>
      <x:c r="B261" s="8" t="n"/>
      <x:c r="C261" s="8" t="n"/>
      <x:c r="D261" s="8" t="n"/>
    </x:row>
    <x:row r="262">
      <x:c r="A262" s="7" t="n"/>
      <x:c r="B262" s="8" t="n"/>
      <x:c r="C262" s="8" t="n"/>
      <x:c r="D262" s="8" t="n"/>
    </x:row>
    <x:row r="263">
      <x:c r="A263" s="7" t="n"/>
      <x:c r="B263" s="8" t="n"/>
      <x:c r="C263" s="8" t="n"/>
      <x:c r="D263" s="8" t="n"/>
    </x:row>
    <x:row r="264">
      <x:c r="A264" s="7" t="n"/>
      <x:c r="B264" s="8" t="n"/>
      <x:c r="C264" s="8" t="n"/>
      <x:c r="D264" s="8" t="n"/>
    </x:row>
    <x:row r="265">
      <x:c r="A265" s="7" t="n"/>
      <x:c r="B265" s="8" t="n"/>
      <x:c r="C265" s="8" t="n"/>
      <x:c r="D265" s="8" t="n"/>
    </x:row>
    <x:row r="266">
      <x:c r="A266" s="7" t="n"/>
      <x:c r="B266" s="8" t="n"/>
      <x:c r="C266" s="8" t="n"/>
      <x:c r="D266" s="8" t="n"/>
    </x:row>
    <x:row r="267">
      <x:c r="A267" s="7" t="n"/>
      <x:c r="B267" s="8" t="n"/>
      <x:c r="C267" s="8" t="n"/>
      <x:c r="D267" s="8" t="n"/>
    </x:row>
    <x:row r="268">
      <x:c r="A268" s="7" t="n"/>
      <x:c r="B268" s="8" t="n"/>
      <x:c r="C268" s="8" t="n"/>
      <x:c r="D268" s="8" t="n"/>
    </x:row>
    <x:row r="269">
      <x:c r="A269" s="7" t="n"/>
      <x:c r="B269" s="8" t="n"/>
      <x:c r="C269" s="8" t="n"/>
      <x:c r="D269" s="8" t="n"/>
    </x:row>
    <x:row r="270">
      <x:c r="A270" s="7" t="n"/>
      <x:c r="B270" s="8" t="n"/>
      <x:c r="C270" s="8" t="n"/>
      <x:c r="D270" s="8" t="n"/>
    </x:row>
    <x:row r="271">
      <x:c r="A271" s="7" t="n"/>
      <x:c r="B271" s="8" t="n"/>
      <x:c r="C271" s="8" t="n"/>
      <x:c r="D271" s="8" t="n"/>
    </x:row>
    <x:row r="272">
      <x:c r="A272" s="7" t="n"/>
      <x:c r="B272" s="8" t="n"/>
      <x:c r="C272" s="8" t="n"/>
      <x:c r="D272" s="8" t="n"/>
    </x:row>
    <x:row r="273">
      <x:c r="A273" s="7" t="n"/>
      <x:c r="B273" s="8" t="n"/>
      <x:c r="C273" s="8" t="n"/>
      <x:c r="D273" s="8" t="n"/>
    </x:row>
    <x:row r="274">
      <x:c r="A274" s="7" t="n"/>
      <x:c r="B274" s="8" t="n"/>
      <x:c r="C274" s="8" t="n"/>
      <x:c r="D274" s="8" t="n"/>
    </x:row>
    <x:row r="275">
      <x:c r="A275" s="7" t="n"/>
      <x:c r="B275" s="8" t="n"/>
      <x:c r="C275" s="8" t="n"/>
      <x:c r="D275" s="8" t="n"/>
    </x:row>
    <x:row r="276">
      <x:c r="A276" s="7" t="n"/>
      <x:c r="B276" s="8" t="n"/>
      <x:c r="C276" s="8" t="n"/>
      <x:c r="D276" s="8" t="n"/>
    </x:row>
    <x:row r="277">
      <x:c r="A277" s="7" t="n"/>
      <x:c r="B277" s="8" t="n"/>
      <x:c r="C277" s="8" t="n"/>
      <x:c r="D277" s="8" t="n"/>
    </x:row>
    <x:row r="278">
      <x:c r="A278" s="7" t="n"/>
      <x:c r="B278" s="8" t="n"/>
      <x:c r="C278" s="8" t="n"/>
      <x:c r="D278" s="8" t="n"/>
    </x:row>
    <x:row r="279">
      <x:c r="A279" s="7" t="n"/>
      <x:c r="B279" s="8" t="n"/>
      <x:c r="C279" s="8" t="n"/>
      <x:c r="D279" s="8" t="n"/>
    </x:row>
    <x:row r="280">
      <x:c r="A280" s="7" t="n"/>
      <x:c r="B280" s="8" t="n"/>
      <x:c r="C280" s="8" t="n"/>
      <x:c r="D280" s="8" t="n"/>
    </x:row>
    <x:row r="281">
      <x:c r="A281" s="7" t="n"/>
      <x:c r="B281" s="8" t="n"/>
      <x:c r="C281" s="8" t="n"/>
      <x:c r="D281" s="8" t="n"/>
    </x:row>
    <x:row r="282">
      <x:c r="A282" s="7" t="n"/>
      <x:c r="B282" s="8" t="n"/>
      <x:c r="C282" s="8" t="n"/>
      <x:c r="D282" s="8" t="n"/>
    </x:row>
    <x:row r="283">
      <x:c r="A283" s="7" t="n"/>
      <x:c r="B283" s="8" t="n"/>
      <x:c r="C283" s="8" t="n"/>
      <x:c r="D283" s="8" t="n"/>
    </x:row>
    <x:row r="284">
      <x:c r="A284" s="7" t="n"/>
      <x:c r="B284" s="8" t="n"/>
      <x:c r="C284" s="8" t="n"/>
      <x:c r="D284" s="8" t="n"/>
    </x:row>
    <x:row r="285">
      <x:c r="A285" s="7" t="n"/>
      <x:c r="B285" s="8" t="n"/>
      <x:c r="C285" s="8" t="n"/>
      <x:c r="D285" s="8" t="n"/>
    </x:row>
    <x:row r="286">
      <x:c r="A286" s="7" t="n"/>
      <x:c r="B286" s="8" t="n"/>
      <x:c r="C286" s="8" t="n"/>
      <x:c r="D286" s="8" t="n"/>
    </x:row>
    <x:row r="287">
      <x:c r="A287" s="7" t="n"/>
      <x:c r="B287" s="8" t="n"/>
      <x:c r="C287" s="8" t="n"/>
      <x:c r="D287" s="8" t="n"/>
    </x:row>
    <x:row r="288">
      <x:c r="A288" s="7" t="n"/>
      <x:c r="B288" s="8" t="n"/>
      <x:c r="C288" s="8" t="n"/>
      <x:c r="D288" s="8" t="n"/>
    </x:row>
    <x:row r="289">
      <x:c r="A289" s="7" t="n"/>
      <x:c r="B289" s="8" t="n"/>
      <x:c r="C289" s="8" t="n"/>
      <x:c r="D289" s="8" t="n"/>
    </x:row>
    <x:row r="290">
      <x:c r="A290" s="7" t="n"/>
      <x:c r="B290" s="8" t="n"/>
      <x:c r="C290" s="8" t="n"/>
      <x:c r="D290" s="8" t="n"/>
    </x:row>
    <x:row r="291">
      <x:c r="A291" s="7" t="n"/>
      <x:c r="B291" s="8" t="n"/>
      <x:c r="C291" s="8" t="n"/>
      <x:c r="D291" s="8" t="n"/>
    </x:row>
    <x:row r="292">
      <x:c r="A292" s="7" t="n"/>
      <x:c r="B292" s="8" t="n"/>
      <x:c r="C292" s="8" t="n"/>
      <x:c r="D292" s="8" t="n"/>
    </x:row>
    <x:row r="293">
      <x:c r="A293" s="7" t="n"/>
      <x:c r="B293" s="8" t="n"/>
      <x:c r="C293" s="8" t="n"/>
      <x:c r="D293" s="8" t="n"/>
    </x:row>
    <x:row r="294">
      <x:c r="A294" s="7" t="n"/>
      <x:c r="B294" s="8" t="n"/>
      <x:c r="C294" s="8" t="n"/>
      <x:c r="D294" s="8" t="n"/>
    </x:row>
    <x:row r="295">
      <x:c r="A295" s="7" t="n"/>
      <x:c r="B295" s="8" t="n"/>
      <x:c r="C295" s="8" t="n"/>
      <x:c r="D295" s="8" t="n"/>
    </x:row>
    <x:row r="296">
      <x:c r="A296" s="7" t="n"/>
      <x:c r="B296" s="8" t="n"/>
      <x:c r="C296" s="8" t="n"/>
      <x:c r="D296" s="8" t="n"/>
    </x:row>
    <x:row r="297">
      <x:c r="A297" s="7" t="n"/>
      <x:c r="B297" s="8" t="n"/>
      <x:c r="C297" s="8" t="n"/>
      <x:c r="D297" s="8" t="n"/>
    </x:row>
    <x:row r="298">
      <x:c r="A298" s="7" t="n"/>
      <x:c r="B298" s="8" t="n"/>
      <x:c r="C298" s="8" t="n"/>
      <x:c r="D298" s="8" t="n"/>
    </x:row>
    <x:row r="299">
      <x:c r="A299" s="7" t="n"/>
      <x:c r="B299" s="8" t="n"/>
      <x:c r="C299" s="8" t="n"/>
      <x:c r="D299" s="8" t="n"/>
    </x:row>
    <x:row r="300">
      <x:c r="A300" s="6" t="n"/>
      <x:c r="B300" s="6" t="n"/>
      <x:c r="C300" s="6" t="n"/>
      <x:c r="D300" s="6" t="n"/>
    </x:row>
  </x:sheetData>
  <x:pageMargins left="0.7" right="0.7" top="0.75" bottom="0.75" header="0.3" footer="0.3"/>
</x:worksheet>
</file>